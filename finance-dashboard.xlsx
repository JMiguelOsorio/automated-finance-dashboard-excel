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d\Desktop\"/>
    </mc:Choice>
  </mc:AlternateContent>
  <xr:revisionPtr revIDLastSave="0" documentId="13_ncr:1_{4143F4C9-1C56-44DC-B8EF-3540267197FC}" xr6:coauthVersionLast="47" xr6:coauthVersionMax="47" xr10:uidLastSave="{00000000-0000-0000-0000-000000000000}"/>
  <bookViews>
    <workbookView xWindow="28680" yWindow="-120" windowWidth="24240" windowHeight="13020" activeTab="3" xr2:uid="{1A3C9D17-A3DC-467F-BB84-9D4FDB6FD05A}"/>
  </bookViews>
  <sheets>
    <sheet name="Table" sheetId="1" r:id="rId1"/>
    <sheet name="Transactions" sheetId="2" r:id="rId2"/>
    <sheet name="Formulas" sheetId="3" r:id="rId3"/>
    <sheet name="Dashboard" sheetId="4" r:id="rId4"/>
  </sheets>
  <definedNames>
    <definedName name="_xlnm._FilterDatabase" localSheetId="1" hidden="1">Transactions!#REF!</definedName>
    <definedName name="_xlchart.v1.0" hidden="1">Dashboard!$K$15:$K$23</definedName>
    <definedName name="_xlchart.v1.1" hidden="1">Dashboard!$L$15:$L$23</definedName>
    <definedName name="_xlchart.v1.2" hidden="1">Dashboard!$M$15:$M$23</definedName>
    <definedName name="_xlchart.v1.3" hidden="1">Dashboard!$K$15:$K$25</definedName>
    <definedName name="_xlchart.v1.4" hidden="1">Dashboard!$L$15:$L$25</definedName>
    <definedName name="_xlchart.v1.5" hidden="1">Dashboard!$M$15:$M$25</definedName>
    <definedName name="nameAccount">tAcc[AccountType]</definedName>
    <definedName name="nameCategory">tCatTrans[Name]</definedName>
    <definedName name="namParty">tParties[Party]</definedName>
    <definedName name="namSignCatTableTrans">CHOOSE(_xlfn.XLOOKUP(tTransactions[Category],tCatTrans[Name],tCatTrans[TransactionID]),1,-1)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3" l="1" a="1"/>
  <c r="E25" i="3" a="1"/>
  <c r="E3" i="3" a="1"/>
  <c r="E3" i="4" l="1" a="1"/>
  <c r="E15" i="4" a="1"/>
  <c r="K3" i="4" l="1" a="1"/>
  <c r="K5" i="4" a="1"/>
  <c r="T3" i="4" s="1"/>
  <c r="O15" i="4" a="1"/>
  <c r="T4" i="4" s="1"/>
  <c r="K15" i="4" a="1"/>
  <c r="U4" i="4" l="1"/>
  <c r="T5" i="4"/>
  <c r="U5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<sst xmlns="http://schemas.openxmlformats.org/spreadsheetml/2006/main" count="718" uniqueCount="75">
  <si>
    <t>CategoryID</t>
  </si>
  <si>
    <t>Name</t>
  </si>
  <si>
    <t>Inc. Adjust</t>
  </si>
  <si>
    <t>Out. Adjust</t>
  </si>
  <si>
    <t>Groceries</t>
  </si>
  <si>
    <t>Monthly Bill</t>
  </si>
  <si>
    <t>Clothing</t>
  </si>
  <si>
    <t>Gas</t>
  </si>
  <si>
    <t>Food</t>
  </si>
  <si>
    <t>Alcohol</t>
  </si>
  <si>
    <t>Gamble</t>
  </si>
  <si>
    <t>Transport</t>
  </si>
  <si>
    <t>Car</t>
  </si>
  <si>
    <t>Insurance</t>
  </si>
  <si>
    <t>Utilities</t>
  </si>
  <si>
    <t>AccountID</t>
  </si>
  <si>
    <t>AccountType</t>
  </si>
  <si>
    <t>CC CIBC</t>
  </si>
  <si>
    <t>DC CIBC</t>
  </si>
  <si>
    <t>Accounts</t>
  </si>
  <si>
    <t>Date</t>
  </si>
  <si>
    <t>Category</t>
  </si>
  <si>
    <t>Account</t>
  </si>
  <si>
    <t>Amount</t>
  </si>
  <si>
    <t>Food Basics</t>
  </si>
  <si>
    <t>Sport chek</t>
  </si>
  <si>
    <t>A&amp;W</t>
  </si>
  <si>
    <t>LCBO</t>
  </si>
  <si>
    <t>Little Caesars</t>
  </si>
  <si>
    <t>Presto</t>
  </si>
  <si>
    <t>Chipotle</t>
  </si>
  <si>
    <t>Starbucks</t>
  </si>
  <si>
    <t>Nike</t>
  </si>
  <si>
    <t>Tim Hortons</t>
  </si>
  <si>
    <t>Walmart</t>
  </si>
  <si>
    <t>Winners</t>
  </si>
  <si>
    <t>TransactionID</t>
  </si>
  <si>
    <t>Total</t>
  </si>
  <si>
    <t>General Balance</t>
  </si>
  <si>
    <t>All transactions</t>
  </si>
  <si>
    <t>PartyID</t>
  </si>
  <si>
    <t>Mechanic</t>
  </si>
  <si>
    <t>Rent</t>
  </si>
  <si>
    <t>Party</t>
  </si>
  <si>
    <t>Parties (Where/From/To)</t>
  </si>
  <si>
    <t>Monthly Income</t>
  </si>
  <si>
    <t>Income (1) / Outflow (2)</t>
  </si>
  <si>
    <t>Monthly Expenses (Outflow)</t>
  </si>
  <si>
    <t>ID</t>
  </si>
  <si>
    <t>Year</t>
  </si>
  <si>
    <t>Month</t>
  </si>
  <si>
    <t>Expenses by Category</t>
  </si>
  <si>
    <t>Average</t>
  </si>
  <si>
    <t>Deviation</t>
  </si>
  <si>
    <t>Income by Category</t>
  </si>
  <si>
    <t>Select Date</t>
  </si>
  <si>
    <t>Income</t>
  </si>
  <si>
    <t>Expenses</t>
  </si>
  <si>
    <t>Save</t>
  </si>
  <si>
    <t>No Frills</t>
  </si>
  <si>
    <t>Queens Harbour</t>
  </si>
  <si>
    <t>Bell</t>
  </si>
  <si>
    <t>Fit 4 Less</t>
  </si>
  <si>
    <t>Petro Gas Station</t>
  </si>
  <si>
    <t>Shell Gas Station</t>
  </si>
  <si>
    <t>Casino</t>
  </si>
  <si>
    <t>Full Time Job</t>
  </si>
  <si>
    <t>Part Time Job</t>
  </si>
  <si>
    <t>Freelance Job</t>
  </si>
  <si>
    <t>CC AMEX</t>
  </si>
  <si>
    <t>Harvey landlord</t>
  </si>
  <si>
    <t>Car Wash</t>
  </si>
  <si>
    <t>PayPal</t>
  </si>
  <si>
    <t>Union Payer</t>
  </si>
  <si>
    <t>TD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</si>
</sst>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Red]#.0%&quot;↓&quot;;[Green]#.0%&quot;↑&quot;;0%;"/>
    <numFmt numFmtId="166" formatCode="[Green]#.0%&quot;↑&quot;;[Red]#.0%&quot;↓&quot;;0%;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8D9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6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2" fillId="3" borderId="0" xfId="0" applyFont="1" applyFill="1"/>
    <xf numFmtId="0" fontId="2" fillId="0" borderId="0" xfId="0" applyFont="1"/>
    <xf numFmtId="0" fontId="2" fillId="0" borderId="4" xfId="0" applyFont="1" applyBorder="1"/>
    <xf numFmtId="164" fontId="0" fillId="0" borderId="0" xfId="0" applyNumberFormat="1"/>
    <xf numFmtId="164" fontId="2" fillId="4" borderId="4" xfId="0" applyNumberFormat="1" applyFont="1" applyFill="1" applyBorder="1"/>
    <xf numFmtId="0" fontId="3" fillId="2" borderId="0" xfId="0" applyFont="1" applyFill="1"/>
    <xf numFmtId="0" fontId="2" fillId="5" borderId="0" xfId="0" applyFont="1" applyFill="1"/>
    <xf numFmtId="0" fontId="6" fillId="0" borderId="0" xfId="0" applyFont="1" applyAlignment="1">
      <alignment horizontal="centerContinuous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0" borderId="9" xfId="0" applyBorder="1"/>
    <xf numFmtId="164" fontId="7" fillId="0" borderId="0" xfId="0" applyNumberFormat="1" applyFont="1"/>
    <xf numFmtId="165" fontId="0" fillId="0" borderId="0" xfId="0" applyNumberFormat="1"/>
    <xf numFmtId="0" fontId="1" fillId="9" borderId="3" xfId="0" applyFont="1" applyFill="1" applyBorder="1"/>
    <xf numFmtId="0" fontId="1" fillId="8" borderId="3" xfId="0" applyFont="1" applyFill="1" applyBorder="1"/>
    <xf numFmtId="0" fontId="7" fillId="0" borderId="0" xfId="0" applyFont="1"/>
    <xf numFmtId="166" fontId="0" fillId="0" borderId="0" xfId="0" applyNumberFormat="1"/>
    <xf numFmtId="4" fontId="0" fillId="0" borderId="0" xfId="0" applyNumberFormat="1"/>
    <xf numFmtId="0" fontId="0" fillId="0" borderId="1" xfId="0" applyBorder="1"/>
    <xf numFmtId="164" fontId="1" fillId="9" borderId="3" xfId="0" applyNumberFormat="1" applyFont="1" applyFill="1" applyBorder="1"/>
    <xf numFmtId="164" fontId="1" fillId="8" borderId="0" xfId="0" applyNumberFormat="1" applyFont="1" applyFill="1"/>
    <xf numFmtId="10" fontId="0" fillId="0" borderId="0" xfId="0" applyNumberFormat="1"/>
    <xf numFmtId="0" fontId="8" fillId="0" borderId="1" xfId="0" applyFont="1" applyBorder="1"/>
    <xf numFmtId="0" fontId="8" fillId="0" borderId="0" xfId="0" applyFont="1"/>
    <xf numFmtId="0" fontId="3" fillId="2" borderId="0" xfId="0" applyFont="1" applyFill="1" applyAlignment="1">
      <alignment horizontal="left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5" fillId="0" borderId="0" xfId="0" applyNumberFormat="1" applyFont="1" applyFill="1" applyAlignment="1">
      <alignment horizontal="left"/>
    </xf>
    <xf numFmtId="14" fontId="2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164" fontId="0" fillId="0" borderId="0" xfId="0" applyNumberFormat="1" applyAlignment="1">
      <alignment vertical="center" wrapText="1"/>
    </xf>
    <xf numFmtId="164" fontId="0" fillId="0" borderId="0" xfId="0" applyNumberFormat="1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0" fillId="0" borderId="3" xfId="0" applyBorder="1"/>
    <xf numFmtId="164" fontId="0" fillId="0" borderId="3" xfId="0" applyNumberFormat="1" applyBorder="1"/>
    <xf numFmtId="14" fontId="10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164" fontId="8" fillId="0" borderId="0" xfId="0" applyNumberFormat="1" applyFont="1" applyBorder="1" applyAlignment="1">
      <alignment vertical="center" wrapText="1"/>
    </xf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17">
    <dxf>
      <font>
        <b/>
        <i val="0"/>
      </font>
      <fill>
        <patternFill>
          <bgColor theme="2" tint="-9.9948118533890809E-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$&quot;#,##0.00"/>
      <alignment horizontal="general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&quot;$&quot;#,##0.0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numFmt numFmtId="20" formatCode="dd/mmm/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0000"/>
      <color rgb="FF008D9E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Dashboard!$K$15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Dashboard!$L$15:$K$15</c:f>
            </c:numRef>
          </c:val>
          <c:extLst>
            <c:ext xmlns:c16="http://schemas.microsoft.com/office/drawing/2014/chart" uri="{C3380CC4-5D6E-409C-BE32-E72D297353CC}">
              <c16:uniqueId val="{00000000-664E-4146-B87B-D33B0E01493C}"/>
            </c:ext>
          </c:extLst>
        </c:ser>
        <c:ser>
          <c:idx val="1"/>
          <c:order val="1"/>
          <c:tx>
            <c:strRef>
              <c:f>Dashboard!$K$16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Dashboard!$L$16:$K$16</c:f>
            </c:numRef>
          </c:val>
          <c:extLst>
            <c:ext xmlns:c16="http://schemas.microsoft.com/office/drawing/2014/chart" uri="{C3380CC4-5D6E-409C-BE32-E72D297353CC}">
              <c16:uniqueId val="{00000057-CFED-48A9-BEB1-9F503CBD6FE3}"/>
            </c:ext>
          </c:extLst>
        </c:ser>
        <c:ser>
          <c:idx val="2"/>
          <c:order val="2"/>
          <c:tx>
            <c:strRef>
              <c:f>Dashboard!$K$17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Dashboard!$L$17:$K$17</c:f>
            </c:numRef>
          </c:val>
          <c:extLst>
            <c:ext xmlns:c16="http://schemas.microsoft.com/office/drawing/2014/chart" uri="{C3380CC4-5D6E-409C-BE32-E72D297353CC}">
              <c16:uniqueId val="{00000058-CFED-48A9-BEB1-9F503CBD6FE3}"/>
            </c:ext>
          </c:extLst>
        </c:ser>
        <c:ser>
          <c:idx val="3"/>
          <c:order val="3"/>
          <c:tx>
            <c:strRef>
              <c:f>Dashboard!$K$18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Dashboard!$L$18:$K$18</c:f>
            </c:numRef>
          </c:val>
          <c:extLst>
            <c:ext xmlns:c16="http://schemas.microsoft.com/office/drawing/2014/chart" uri="{C3380CC4-5D6E-409C-BE32-E72D297353CC}">
              <c16:uniqueId val="{00000059-CFED-48A9-BEB1-9F503CBD6FE3}"/>
            </c:ext>
          </c:extLst>
        </c:ser>
        <c:ser>
          <c:idx val="4"/>
          <c:order val="4"/>
          <c:tx>
            <c:strRef>
              <c:f>Dashboard!$K$19</c:f>
              <c:strCache>
                <c:ptCount val="1"/>
                <c:pt idx="0">
                  <c:v>Insurance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Dashboard!$L$19:$K$19</c:f>
            </c:numRef>
          </c:val>
          <c:extLst>
            <c:ext xmlns:c16="http://schemas.microsoft.com/office/drawing/2014/chart" uri="{C3380CC4-5D6E-409C-BE32-E72D297353CC}">
              <c16:uniqueId val="{0000005A-CFED-48A9-BEB1-9F503CBD6FE3}"/>
            </c:ext>
          </c:extLst>
        </c:ser>
        <c:ser>
          <c:idx val="5"/>
          <c:order val="5"/>
          <c:tx>
            <c:strRef>
              <c:f>Dashboard!$K$20</c:f>
              <c:strCache>
                <c:ptCount val="1"/>
                <c:pt idx="0">
                  <c:v>Monthly Bill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Dashboard!$L$20:$K$20</c:f>
            </c:numRef>
          </c:val>
          <c:extLst>
            <c:ext xmlns:c16="http://schemas.microsoft.com/office/drawing/2014/chart" uri="{C3380CC4-5D6E-409C-BE32-E72D297353CC}">
              <c16:uniqueId val="{0000005B-CFED-48A9-BEB1-9F503CBD6FE3}"/>
            </c:ext>
          </c:extLst>
        </c:ser>
        <c:ser>
          <c:idx val="6"/>
          <c:order val="6"/>
          <c:tx>
            <c:strRef>
              <c:f>Dashboard!$K$21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Dashboard!$L$21:$K$21</c:f>
            </c:numRef>
          </c:val>
          <c:extLst>
            <c:ext xmlns:c16="http://schemas.microsoft.com/office/drawing/2014/chart" uri="{C3380CC4-5D6E-409C-BE32-E72D297353CC}">
              <c16:uniqueId val="{0000005C-CFED-48A9-BEB1-9F503CBD6FE3}"/>
            </c:ext>
          </c:extLst>
        </c:ser>
        <c:ser>
          <c:idx val="7"/>
          <c:order val="7"/>
          <c:tx>
            <c:strRef>
              <c:f>Dashboard!$K$22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Dashboard!$L$22:$K$22</c:f>
            </c:numRef>
          </c:val>
          <c:extLst>
            <c:ext xmlns:c16="http://schemas.microsoft.com/office/drawing/2014/chart" uri="{C3380CC4-5D6E-409C-BE32-E72D297353CC}">
              <c16:uniqueId val="{0000005D-CFED-48A9-BEB1-9F503CBD6FE3}"/>
            </c:ext>
          </c:extLst>
        </c:ser>
        <c:ser>
          <c:idx val="8"/>
          <c:order val="8"/>
          <c:tx>
            <c:strRef>
              <c:f>Dashboard!$K$23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Dashboard!$L$23:$K$23</c:f>
            </c:numRef>
          </c:val>
          <c:extLst>
            <c:ext xmlns:c16="http://schemas.microsoft.com/office/drawing/2014/chart" uri="{C3380CC4-5D6E-409C-BE32-E72D297353CC}">
              <c16:uniqueId val="{0000005E-CFED-48A9-BEB1-9F503CBD6FE3}"/>
            </c:ext>
          </c:extLst>
        </c:ser>
        <c:ser>
          <c:idx val="9"/>
          <c:order val="9"/>
          <c:tx>
            <c:strRef>
              <c:f>Dashboard!$K$24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Dashboard!$L$24:$K$24</c:f>
            </c:numRef>
          </c:val>
          <c:extLst>
            <c:ext xmlns:c16="http://schemas.microsoft.com/office/drawing/2014/chart" uri="{C3380CC4-5D6E-409C-BE32-E72D297353CC}">
              <c16:uniqueId val="{0000005F-CFED-48A9-BEB1-9F503CBD6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5"/>
        <c:axId val="1349998559"/>
        <c:axId val="1567424303"/>
      </c:barChart>
      <c:catAx>
        <c:axId val="134999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567424303"/>
        <c:crosses val="autoZero"/>
        <c:auto val="1"/>
        <c:lblAlgn val="ctr"/>
        <c:lblOffset val="100"/>
        <c:noMultiLvlLbl val="0"/>
      </c:catAx>
      <c:valAx>
        <c:axId val="1567424303"/>
        <c:scaling>
          <c:orientation val="minMax"/>
        </c:scaling>
        <c:delete val="0"/>
        <c:axPos val="l"/>
        <c:numFmt formatCode="&quot;$&quot;#,##0;\-&quot;$&quot;#,##0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34999855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Dashboard!$K$3:$K$4</c:f>
              <c:strCache>
                <c:ptCount val="2"/>
                <c:pt idx="0">
                  <c:v>Freelance Job</c:v>
                </c:pt>
                <c:pt idx="1">
                  <c:v>Full Time Job</c:v>
                </c:pt>
              </c:strCache>
            </c:strRef>
          </c:cat>
          <c:val>
            <c:numRef>
              <c:f>Dashboard!$L$3:$L$4</c:f>
              <c:numCache>
                <c:formatCode>General</c:formatCode>
                <c:ptCount val="2"/>
                <c:pt idx="0">
                  <c:v>581.66666666666663</c:v>
                </c:pt>
                <c:pt idx="1">
                  <c:v>3836.6666666666665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E-4440-97FF-F2D9774B9347}"/>
            </c:ext>
          </c:extLst>
        </c:ser>
        <c:ser>
          <c:idx val="1"/>
          <c:order val="1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Dashboard!$K$3:$K$4</c:f>
              <c:strCache>
                <c:ptCount val="2"/>
                <c:pt idx="0">
                  <c:v>Freelance Job</c:v>
                </c:pt>
                <c:pt idx="1">
                  <c:v>Full Time Job</c:v>
                </c:pt>
              </c:strCache>
            </c:strRef>
          </c:cat>
          <c:val>
            <c:numRef>
              <c:f>Dashboard!$M$3:$M$4</c:f>
              <c:numCache>
                <c:formatCode>General</c:formatCode>
                <c:ptCount val="2"/>
                <c:pt idx="0">
                  <c:v>280</c:v>
                </c:pt>
                <c:pt idx="1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EF-4249-B971-42FB8ED53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5"/>
        <c:axId val="1349998559"/>
        <c:axId val="1567424303"/>
      </c:barChart>
      <c:catAx>
        <c:axId val="134999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567424303"/>
        <c:crosses val="autoZero"/>
        <c:auto val="1"/>
        <c:lblAlgn val="ctr"/>
        <c:lblOffset val="100"/>
        <c:noMultiLvlLbl val="0"/>
      </c:catAx>
      <c:valAx>
        <c:axId val="1567424303"/>
        <c:scaling>
          <c:orientation val="minMax"/>
        </c:scaling>
        <c:delete val="0"/>
        <c:axPos val="l"/>
        <c:numFmt formatCode="&quot;$&quot;#,##0;\-&quot;$&quot;#,##0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34999855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21-4902-BF28-BBB10D5C6BA4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AA-422E-A915-DCE295FD7364}"/>
              </c:ext>
            </c:extLst>
          </c:dPt>
          <c:cat>
            <c:strRef>
              <c:f>Dashboard!$S$4:$S$5</c:f>
              <c:strCache>
                <c:ptCount val="2"/>
                <c:pt idx="0">
                  <c:v>Expenses</c:v>
                </c:pt>
                <c:pt idx="1">
                  <c:v>Save</c:v>
                </c:pt>
              </c:strCache>
            </c:strRef>
          </c:cat>
          <c:val>
            <c:numRef>
              <c:f>Dashboard!$T$4:$T$5</c:f>
              <c:numCache>
                <c:formatCode>"$"#,##0.00</c:formatCode>
                <c:ptCount val="2"/>
                <c:pt idx="0">
                  <c:v>3081.14</c:v>
                </c:pt>
                <c:pt idx="1">
                  <c:v>998.86000000000013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1-4902-BF28-BBB10D5C6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Dashboard!$K$15:$K$23</c:f>
              <c:strCache>
                <c:ptCount val="9"/>
                <c:pt idx="0">
                  <c:v>Car</c:v>
                </c:pt>
                <c:pt idx="1">
                  <c:v>Food</c:v>
                </c:pt>
                <c:pt idx="2">
                  <c:v>Gas</c:v>
                </c:pt>
                <c:pt idx="3">
                  <c:v>Groceries</c:v>
                </c:pt>
                <c:pt idx="4">
                  <c:v>Insurance</c:v>
                </c:pt>
                <c:pt idx="5">
                  <c:v>Monthly Bill</c:v>
                </c:pt>
                <c:pt idx="6">
                  <c:v>Rent</c:v>
                </c:pt>
                <c:pt idx="7">
                  <c:v>Transport</c:v>
                </c:pt>
                <c:pt idx="8">
                  <c:v>Utilities</c:v>
                </c:pt>
              </c:strCache>
            </c:strRef>
          </c:cat>
          <c:val>
            <c:numRef>
              <c:f>Dashboard!$L$15:$L$23</c:f>
              <c:numCache>
                <c:formatCode>"$"#,##0.00</c:formatCode>
                <c:ptCount val="9"/>
                <c:pt idx="0">
                  <c:v>141</c:v>
                </c:pt>
                <c:pt idx="1">
                  <c:v>86.866666666666674</c:v>
                </c:pt>
                <c:pt idx="2">
                  <c:v>144.83333333333334</c:v>
                </c:pt>
                <c:pt idx="3">
                  <c:v>467.83333333333331</c:v>
                </c:pt>
                <c:pt idx="4">
                  <c:v>250</c:v>
                </c:pt>
                <c:pt idx="5">
                  <c:v>135.99</c:v>
                </c:pt>
                <c:pt idx="6">
                  <c:v>1900</c:v>
                </c:pt>
                <c:pt idx="7">
                  <c:v>89</c:v>
                </c:pt>
                <c:pt idx="8">
                  <c:v>163.83333333333334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A-48BD-904D-2B1CA4DFBD2A}"/>
            </c:ext>
          </c:extLst>
        </c:ser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Dashboard!$K$15:$K$23</c:f>
              <c:strCache>
                <c:ptCount val="9"/>
                <c:pt idx="0">
                  <c:v>Car</c:v>
                </c:pt>
                <c:pt idx="1">
                  <c:v>Food</c:v>
                </c:pt>
                <c:pt idx="2">
                  <c:v>Gas</c:v>
                </c:pt>
                <c:pt idx="3">
                  <c:v>Groceries</c:v>
                </c:pt>
                <c:pt idx="4">
                  <c:v>Insurance</c:v>
                </c:pt>
                <c:pt idx="5">
                  <c:v>Monthly Bill</c:v>
                </c:pt>
                <c:pt idx="6">
                  <c:v>Rent</c:v>
                </c:pt>
                <c:pt idx="7">
                  <c:v>Transport</c:v>
                </c:pt>
                <c:pt idx="8">
                  <c:v>Utilities</c:v>
                </c:pt>
              </c:strCache>
            </c:strRef>
          </c:cat>
          <c:val>
            <c:numRef>
              <c:f>Dashboard!$M$15:$M$23</c:f>
              <c:numCache>
                <c:formatCode>"$"#,##0.00</c:formatCode>
                <c:ptCount val="9"/>
                <c:pt idx="0">
                  <c:v>30</c:v>
                </c:pt>
                <c:pt idx="1">
                  <c:v>235.15</c:v>
                </c:pt>
                <c:pt idx="2">
                  <c:v>65</c:v>
                </c:pt>
                <c:pt idx="3">
                  <c:v>258</c:v>
                </c:pt>
                <c:pt idx="4">
                  <c:v>250</c:v>
                </c:pt>
                <c:pt idx="5">
                  <c:v>135.99</c:v>
                </c:pt>
                <c:pt idx="6">
                  <c:v>1900</c:v>
                </c:pt>
                <c:pt idx="7">
                  <c:v>47</c:v>
                </c:pt>
                <c:pt idx="8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A-48BD-904D-2B1CA4DFB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9647055"/>
        <c:axId val="1915821679"/>
      </c:barChart>
      <c:catAx>
        <c:axId val="205964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821679"/>
        <c:crosses val="autoZero"/>
        <c:auto val="1"/>
        <c:lblAlgn val="ctr"/>
        <c:lblOffset val="100"/>
        <c:noMultiLvlLbl val="0"/>
      </c:catAx>
      <c:valAx>
        <c:axId val="1915821679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64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2</xdr:rowOff>
    </xdr:from>
    <xdr:to>
      <xdr:col>3</xdr:col>
      <xdr:colOff>2778</xdr:colOff>
      <xdr:row>20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2C42DCF-BA85-26DE-A8E6-FE18BB7B6999}"/>
            </a:ext>
          </a:extLst>
        </xdr:cNvPr>
        <xdr:cNvSpPr/>
      </xdr:nvSpPr>
      <xdr:spPr>
        <a:xfrm>
          <a:off x="219808" y="732694"/>
          <a:ext cx="1219047" cy="2930768"/>
        </a:xfrm>
        <a:prstGeom prst="roundRect">
          <a:avLst>
            <a:gd name="adj" fmla="val 4762"/>
          </a:avLst>
        </a:prstGeom>
        <a:solidFill>
          <a:srgbClr val="008D9E"/>
        </a:solidFill>
        <a:ln w="6350">
          <a:solidFill>
            <a:schemeClr val="tx1"/>
          </a:solidFill>
        </a:ln>
        <a:effectLst>
          <a:outerShdw blurRad="63500" dist="635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216215</xdr:colOff>
      <xdr:row>3</xdr:row>
      <xdr:rowOff>170362</xdr:rowOff>
    </xdr:from>
    <xdr:to>
      <xdr:col>2</xdr:col>
      <xdr:colOff>565715</xdr:colOff>
      <xdr:row>19</xdr:row>
      <xdr:rowOff>170362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D0B80C4-A646-4A19-95C5-99E050D1C1AA}"/>
            </a:ext>
          </a:extLst>
        </xdr:cNvPr>
        <xdr:cNvSpPr/>
      </xdr:nvSpPr>
      <xdr:spPr>
        <a:xfrm>
          <a:off x="216215" y="706143"/>
          <a:ext cx="1391297" cy="2857500"/>
        </a:xfrm>
        <a:prstGeom prst="roundRect">
          <a:avLst>
            <a:gd name="adj" fmla="val 6548"/>
          </a:avLst>
        </a:prstGeom>
        <a:solidFill>
          <a:schemeClr val="bg1">
            <a:alpha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27409</xdr:colOff>
      <xdr:row>4</xdr:row>
      <xdr:rowOff>37367</xdr:rowOff>
    </xdr:from>
    <xdr:to>
      <xdr:col>2</xdr:col>
      <xdr:colOff>554070</xdr:colOff>
      <xdr:row>7</xdr:row>
      <xdr:rowOff>168037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04ED058B-9F4D-AA93-F256-6CED7AC12F31}"/>
            </a:ext>
          </a:extLst>
        </xdr:cNvPr>
        <xdr:cNvSpPr/>
      </xdr:nvSpPr>
      <xdr:spPr>
        <a:xfrm>
          <a:off x="247217" y="770059"/>
          <a:ext cx="1134795" cy="680190"/>
        </a:xfrm>
        <a:prstGeom prst="roundRect">
          <a:avLst>
            <a:gd name="adj" fmla="val 7576"/>
          </a:avLst>
        </a:prstGeom>
        <a:solidFill>
          <a:srgbClr val="008D9E"/>
        </a:solidFill>
        <a:ln w="12700">
          <a:solidFill>
            <a:schemeClr val="bg1">
              <a:alpha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208969</xdr:colOff>
      <xdr:row>4</xdr:row>
      <xdr:rowOff>58632</xdr:rowOff>
    </xdr:from>
    <xdr:to>
      <xdr:col>2</xdr:col>
      <xdr:colOff>411935</xdr:colOff>
      <xdr:row>5</xdr:row>
      <xdr:rowOff>159148</xdr:rowOff>
    </xdr:to>
    <xdr:sp macro="" textlink="Formulas!A4">
      <xdr:nvSpPr>
        <xdr:cNvPr id="64" name="TextBox 63">
          <a:extLst>
            <a:ext uri="{FF2B5EF4-FFF2-40B4-BE49-F238E27FC236}">
              <a16:creationId xmlns:a16="http://schemas.microsoft.com/office/drawing/2014/main" id="{3333B409-006C-C374-297F-B42FC47D7EFE}"/>
            </a:ext>
          </a:extLst>
        </xdr:cNvPr>
        <xdr:cNvSpPr txBox="1"/>
      </xdr:nvSpPr>
      <xdr:spPr>
        <a:xfrm>
          <a:off x="208969" y="791324"/>
          <a:ext cx="1030908" cy="2836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ADC9365-9C15-43AD-94CA-C2BDDE61F098}" type="TxLink">
            <a:rPr lang="en-US" sz="1600" b="0" i="0" u="none" strike="noStrike">
              <a:solidFill>
                <a:schemeClr val="bg1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pPr marL="0" indent="0" algn="l"/>
            <a:t>CC AMEX</a:t>
          </a:fld>
          <a:endParaRPr lang="en-CA" sz="1600" b="0" i="0" u="none" strike="noStrike">
            <a:solidFill>
              <a:schemeClr val="bg1"/>
            </a:solidFill>
            <a:latin typeface="Aharoni" panose="02010803020104030203" pitchFamily="2" charset="-79"/>
            <a:ea typeface="+mn-ea"/>
            <a:cs typeface="Aharoni" panose="02010803020104030203" pitchFamily="2" charset="-79"/>
          </a:endParaRPr>
        </a:p>
      </xdr:txBody>
    </xdr:sp>
    <xdr:clientData/>
  </xdr:twoCellAnchor>
  <xdr:twoCellAnchor>
    <xdr:from>
      <xdr:col>2</xdr:col>
      <xdr:colOff>173404</xdr:colOff>
      <xdr:row>4</xdr:row>
      <xdr:rowOff>58924</xdr:rowOff>
    </xdr:from>
    <xdr:to>
      <xdr:col>2</xdr:col>
      <xdr:colOff>533404</xdr:colOff>
      <xdr:row>6</xdr:row>
      <xdr:rowOff>68325</xdr:rowOff>
    </xdr:to>
    <xdr:pic>
      <xdr:nvPicPr>
        <xdr:cNvPr id="65" name="Graphic 64" descr="Money with solid fill">
          <a:extLst>
            <a:ext uri="{FF2B5EF4-FFF2-40B4-BE49-F238E27FC236}">
              <a16:creationId xmlns:a16="http://schemas.microsoft.com/office/drawing/2014/main" id="{6427DFDF-9C6A-9022-8660-D681FBA5E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346" y="791616"/>
          <a:ext cx="360000" cy="375747"/>
        </a:xfrm>
        <a:prstGeom prst="rect">
          <a:avLst/>
        </a:prstGeom>
      </xdr:spPr>
    </xdr:pic>
    <xdr:clientData/>
  </xdr:twoCellAnchor>
  <xdr:twoCellAnchor>
    <xdr:from>
      <xdr:col>0</xdr:col>
      <xdr:colOff>209057</xdr:colOff>
      <xdr:row>6</xdr:row>
      <xdr:rowOff>17199</xdr:rowOff>
    </xdr:from>
    <xdr:to>
      <xdr:col>2</xdr:col>
      <xdr:colOff>415701</xdr:colOff>
      <xdr:row>7</xdr:row>
      <xdr:rowOff>104341</xdr:rowOff>
    </xdr:to>
    <xdr:sp macro="" textlink="Formulas!B4">
      <xdr:nvSpPr>
        <xdr:cNvPr id="66" name="TextBox 65">
          <a:extLst>
            <a:ext uri="{FF2B5EF4-FFF2-40B4-BE49-F238E27FC236}">
              <a16:creationId xmlns:a16="http://schemas.microsoft.com/office/drawing/2014/main" id="{778506CB-4872-D182-5919-EF8B03B02765}"/>
            </a:ext>
          </a:extLst>
        </xdr:cNvPr>
        <xdr:cNvSpPr txBox="1"/>
      </xdr:nvSpPr>
      <xdr:spPr>
        <a:xfrm>
          <a:off x="209057" y="1116237"/>
          <a:ext cx="1034586" cy="270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A8960C9-D192-41F3-B6A2-40F15E09DA54}" type="TxLink">
            <a:rPr lang="en-US" sz="1600" b="0" i="0" u="none" strike="noStrike">
              <a:solidFill>
                <a:schemeClr val="bg1"/>
              </a:solidFill>
              <a:latin typeface="Aptos Narrow"/>
              <a:ea typeface="+mn-ea"/>
              <a:cs typeface="Aharoni" panose="020F0502020204030204" pitchFamily="2" charset="-79"/>
            </a:rPr>
            <a:pPr marL="0" indent="0" algn="l"/>
            <a:t>$2,305.75</a:t>
          </a:fld>
          <a:endParaRPr lang="en-CA" sz="1600" b="0" i="0" u="none" strike="noStrike">
            <a:solidFill>
              <a:schemeClr val="bg1"/>
            </a:solidFill>
            <a:latin typeface="+mj-lt"/>
            <a:ea typeface="+mn-ea"/>
            <a:cs typeface="Aharoni" panose="020F0502020204030204" pitchFamily="2" charset="-79"/>
          </a:endParaRPr>
        </a:p>
      </xdr:txBody>
    </xdr:sp>
    <xdr:clientData/>
  </xdr:twoCellAnchor>
  <xdr:twoCellAnchor>
    <xdr:from>
      <xdr:col>1</xdr:col>
      <xdr:colOff>52116</xdr:colOff>
      <xdr:row>5</xdr:row>
      <xdr:rowOff>166768</xdr:rowOff>
    </xdr:from>
    <xdr:to>
      <xdr:col>2</xdr:col>
      <xdr:colOff>91982</xdr:colOff>
      <xdr:row>5</xdr:row>
      <xdr:rowOff>166768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D3F35133-E1C4-DC6F-1FE1-1A479992823C}"/>
            </a:ext>
          </a:extLst>
        </xdr:cNvPr>
        <xdr:cNvCxnSpPr/>
      </xdr:nvCxnSpPr>
      <xdr:spPr>
        <a:xfrm>
          <a:off x="271924" y="1082633"/>
          <a:ext cx="648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27285</xdr:colOff>
      <xdr:row>8</xdr:row>
      <xdr:rowOff>31065</xdr:rowOff>
    </xdr:from>
    <xdr:to>
      <xdr:col>2</xdr:col>
      <xdr:colOff>550260</xdr:colOff>
      <xdr:row>11</xdr:row>
      <xdr:rowOff>171261</xdr:rowOff>
    </xdr:to>
    <xdr:sp macro="" textlink="">
      <xdr:nvSpPr>
        <xdr:cNvPr id="88" name="Rectangle: Rounded Corners 87">
          <a:extLst>
            <a:ext uri="{FF2B5EF4-FFF2-40B4-BE49-F238E27FC236}">
              <a16:creationId xmlns:a16="http://schemas.microsoft.com/office/drawing/2014/main" id="{571225F0-F34A-5617-B2B3-9758F6825E89}"/>
            </a:ext>
          </a:extLst>
        </xdr:cNvPr>
        <xdr:cNvSpPr/>
      </xdr:nvSpPr>
      <xdr:spPr>
        <a:xfrm>
          <a:off x="247093" y="1496450"/>
          <a:ext cx="1131109" cy="689715"/>
        </a:xfrm>
        <a:prstGeom prst="roundRect">
          <a:avLst>
            <a:gd name="adj" fmla="val 7576"/>
          </a:avLst>
        </a:prstGeom>
        <a:solidFill>
          <a:srgbClr val="008D9E"/>
        </a:solidFill>
        <a:ln w="12700">
          <a:solidFill>
            <a:schemeClr val="bg1">
              <a:alpha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212779</xdr:colOff>
      <xdr:row>8</xdr:row>
      <xdr:rowOff>56438</xdr:rowOff>
    </xdr:from>
    <xdr:to>
      <xdr:col>2</xdr:col>
      <xdr:colOff>406682</xdr:colOff>
      <xdr:row>9</xdr:row>
      <xdr:rowOff>159022</xdr:rowOff>
    </xdr:to>
    <xdr:sp macro="" textlink="Formulas!A5">
      <xdr:nvSpPr>
        <xdr:cNvPr id="89" name="TextBox 88">
          <a:extLst>
            <a:ext uri="{FF2B5EF4-FFF2-40B4-BE49-F238E27FC236}">
              <a16:creationId xmlns:a16="http://schemas.microsoft.com/office/drawing/2014/main" id="{167FAC57-5BFC-6343-EEE5-18C272AE035F}"/>
            </a:ext>
          </a:extLst>
        </xdr:cNvPr>
        <xdr:cNvSpPr txBox="1"/>
      </xdr:nvSpPr>
      <xdr:spPr>
        <a:xfrm>
          <a:off x="212779" y="1521823"/>
          <a:ext cx="1021845" cy="2857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C2DDC60-7E5D-4655-B25A-0FA70EE97B40}" type="TxLink">
            <a:rPr lang="en-US" sz="1600" b="0" i="0" u="none" strike="noStrike">
              <a:solidFill>
                <a:schemeClr val="bg1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pPr marL="0" indent="0" algn="l"/>
            <a:t>CC CIBC</a:t>
          </a:fld>
          <a:endParaRPr lang="en-CA" sz="1600" b="0" i="0" u="none" strike="noStrike">
            <a:solidFill>
              <a:schemeClr val="bg1"/>
            </a:solidFill>
            <a:latin typeface="Aharoni" panose="02010803020104030203" pitchFamily="2" charset="-79"/>
            <a:ea typeface="+mn-ea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205833</xdr:colOff>
      <xdr:row>10</xdr:row>
      <xdr:rowOff>26003</xdr:rowOff>
    </xdr:from>
    <xdr:to>
      <xdr:col>2</xdr:col>
      <xdr:colOff>399592</xdr:colOff>
      <xdr:row>11</xdr:row>
      <xdr:rowOff>132171</xdr:rowOff>
    </xdr:to>
    <xdr:sp macro="" textlink="Formulas!B5">
      <xdr:nvSpPr>
        <xdr:cNvPr id="91" name="TextBox 90">
          <a:extLst>
            <a:ext uri="{FF2B5EF4-FFF2-40B4-BE49-F238E27FC236}">
              <a16:creationId xmlns:a16="http://schemas.microsoft.com/office/drawing/2014/main" id="{EB5A5969-E7EF-6735-D832-0E6AA3B86325}"/>
            </a:ext>
          </a:extLst>
        </xdr:cNvPr>
        <xdr:cNvSpPr txBox="1"/>
      </xdr:nvSpPr>
      <xdr:spPr>
        <a:xfrm>
          <a:off x="205833" y="1857734"/>
          <a:ext cx="1234182" cy="2893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94E6282-7AF1-4128-91B8-DCEB525E8B86}" type="TxLink">
            <a:rPr lang="en-US" sz="1600" b="0" i="0" u="none" strike="noStrike">
              <a:solidFill>
                <a:schemeClr val="bg1"/>
              </a:solidFill>
              <a:latin typeface="Aptos Narrow"/>
              <a:ea typeface="+mn-ea"/>
              <a:cs typeface="Aharoni" panose="020F0502020204030204" pitchFamily="2" charset="-79"/>
            </a:rPr>
            <a:pPr marL="0" indent="0" algn="l"/>
            <a:t>$2,468.00</a:t>
          </a:fld>
          <a:endParaRPr lang="en-CA" sz="1600" b="0" i="0" u="none" strike="noStrike">
            <a:solidFill>
              <a:schemeClr val="bg1"/>
            </a:solidFill>
            <a:latin typeface="Aptos Narrow"/>
            <a:ea typeface="+mn-ea"/>
            <a:cs typeface="Aharoni" panose="020F0502020204030204" pitchFamily="2" charset="-79"/>
          </a:endParaRPr>
        </a:p>
      </xdr:txBody>
    </xdr:sp>
    <xdr:clientData/>
  </xdr:twoCellAnchor>
  <xdr:twoCellAnchor>
    <xdr:from>
      <xdr:col>1</xdr:col>
      <xdr:colOff>51912</xdr:colOff>
      <xdr:row>9</xdr:row>
      <xdr:rowOff>164843</xdr:rowOff>
    </xdr:from>
    <xdr:to>
      <xdr:col>2</xdr:col>
      <xdr:colOff>89673</xdr:colOff>
      <xdr:row>9</xdr:row>
      <xdr:rowOff>164843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E0B42173-7175-1C37-0E10-7C29666CD71C}"/>
            </a:ext>
          </a:extLst>
        </xdr:cNvPr>
        <xdr:cNvCxnSpPr/>
      </xdr:nvCxnSpPr>
      <xdr:spPr>
        <a:xfrm>
          <a:off x="271720" y="1813401"/>
          <a:ext cx="64589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25380</xdr:colOff>
      <xdr:row>16</xdr:row>
      <xdr:rowOff>19927</xdr:rowOff>
    </xdr:from>
    <xdr:to>
      <xdr:col>2</xdr:col>
      <xdr:colOff>554070</xdr:colOff>
      <xdr:row>19</xdr:row>
      <xdr:rowOff>154408</xdr:rowOff>
    </xdr:to>
    <xdr:sp macro="" textlink="">
      <xdr:nvSpPr>
        <xdr:cNvPr id="94" name="Rectangle: Rounded Corners 93">
          <a:extLst>
            <a:ext uri="{FF2B5EF4-FFF2-40B4-BE49-F238E27FC236}">
              <a16:creationId xmlns:a16="http://schemas.microsoft.com/office/drawing/2014/main" id="{4C6EADE8-DCC9-961F-2512-039B0F405FFB}"/>
            </a:ext>
          </a:extLst>
        </xdr:cNvPr>
        <xdr:cNvSpPr/>
      </xdr:nvSpPr>
      <xdr:spPr>
        <a:xfrm>
          <a:off x="245188" y="2950696"/>
          <a:ext cx="1349305" cy="684000"/>
        </a:xfrm>
        <a:prstGeom prst="roundRect">
          <a:avLst>
            <a:gd name="adj" fmla="val 7576"/>
          </a:avLst>
        </a:prstGeom>
        <a:solidFill>
          <a:schemeClr val="accent1">
            <a:lumMod val="50000"/>
          </a:schemeClr>
        </a:solidFill>
        <a:ln w="12700">
          <a:solidFill>
            <a:schemeClr val="bg1">
              <a:alpha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51912</xdr:colOff>
      <xdr:row>17</xdr:row>
      <xdr:rowOff>149020</xdr:rowOff>
    </xdr:from>
    <xdr:to>
      <xdr:col>2</xdr:col>
      <xdr:colOff>89673</xdr:colOff>
      <xdr:row>17</xdr:row>
      <xdr:rowOff>149020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CEE4EE3F-8010-A6EF-AE6A-7AAE93B2A014}"/>
            </a:ext>
          </a:extLst>
        </xdr:cNvPr>
        <xdr:cNvCxnSpPr/>
      </xdr:nvCxnSpPr>
      <xdr:spPr>
        <a:xfrm>
          <a:off x="271720" y="3262962"/>
          <a:ext cx="64589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25380</xdr:colOff>
      <xdr:row>12</xdr:row>
      <xdr:rowOff>22858</xdr:rowOff>
    </xdr:from>
    <xdr:to>
      <xdr:col>2</xdr:col>
      <xdr:colOff>554070</xdr:colOff>
      <xdr:row>15</xdr:row>
      <xdr:rowOff>161149</xdr:rowOff>
    </xdr:to>
    <xdr:sp macro="" textlink="">
      <xdr:nvSpPr>
        <xdr:cNvPr id="100" name="Rectangle: Rounded Corners 99">
          <a:extLst>
            <a:ext uri="{FF2B5EF4-FFF2-40B4-BE49-F238E27FC236}">
              <a16:creationId xmlns:a16="http://schemas.microsoft.com/office/drawing/2014/main" id="{77811DD3-5453-AF60-266A-049F9AC90CE9}"/>
            </a:ext>
          </a:extLst>
        </xdr:cNvPr>
        <xdr:cNvSpPr/>
      </xdr:nvSpPr>
      <xdr:spPr>
        <a:xfrm>
          <a:off x="245188" y="2220935"/>
          <a:ext cx="1136824" cy="687810"/>
        </a:xfrm>
        <a:prstGeom prst="roundRect">
          <a:avLst>
            <a:gd name="adj" fmla="val 7576"/>
          </a:avLst>
        </a:prstGeom>
        <a:solidFill>
          <a:srgbClr val="008D9E"/>
        </a:solidFill>
        <a:ln w="12700">
          <a:solidFill>
            <a:schemeClr val="bg1">
              <a:alpha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208969</xdr:colOff>
      <xdr:row>12</xdr:row>
      <xdr:rowOff>40611</xdr:rowOff>
    </xdr:from>
    <xdr:to>
      <xdr:col>2</xdr:col>
      <xdr:colOff>408587</xdr:colOff>
      <xdr:row>13</xdr:row>
      <xdr:rowOff>145100</xdr:rowOff>
    </xdr:to>
    <xdr:sp macro="" textlink="Formulas!A6">
      <xdr:nvSpPr>
        <xdr:cNvPr id="101" name="TextBox 100">
          <a:extLst>
            <a:ext uri="{FF2B5EF4-FFF2-40B4-BE49-F238E27FC236}">
              <a16:creationId xmlns:a16="http://schemas.microsoft.com/office/drawing/2014/main" id="{D4B2E15F-4B61-1E80-088C-A1C4DB8AB888}"/>
            </a:ext>
          </a:extLst>
        </xdr:cNvPr>
        <xdr:cNvSpPr txBox="1"/>
      </xdr:nvSpPr>
      <xdr:spPr>
        <a:xfrm>
          <a:off x="208969" y="2238688"/>
          <a:ext cx="1027560" cy="2876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A546062-1F13-4662-9197-A76689BBF9F2}" type="TxLink">
            <a:rPr lang="en-US" sz="1600" b="0" i="0" u="none" strike="noStrike">
              <a:solidFill>
                <a:schemeClr val="bg1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pPr marL="0" indent="0" algn="l"/>
            <a:t>DC CIBC</a:t>
          </a:fld>
          <a:endParaRPr lang="en-CA" sz="1600" b="0" i="0" u="none" strike="noStrike">
            <a:solidFill>
              <a:schemeClr val="bg1"/>
            </a:solidFill>
            <a:latin typeface="Aharoni" panose="02010803020104030203" pitchFamily="2" charset="-79"/>
            <a:ea typeface="+mn-ea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209057</xdr:colOff>
      <xdr:row>14</xdr:row>
      <xdr:rowOff>3728</xdr:rowOff>
    </xdr:from>
    <xdr:to>
      <xdr:col>2</xdr:col>
      <xdr:colOff>412341</xdr:colOff>
      <xdr:row>15</xdr:row>
      <xdr:rowOff>94656</xdr:rowOff>
    </xdr:to>
    <xdr:sp macro="" textlink="Formulas!B6">
      <xdr:nvSpPr>
        <xdr:cNvPr id="103" name="TextBox 102">
          <a:extLst>
            <a:ext uri="{FF2B5EF4-FFF2-40B4-BE49-F238E27FC236}">
              <a16:creationId xmlns:a16="http://schemas.microsoft.com/office/drawing/2014/main" id="{D9F4ECB7-B894-1E30-61EA-6450AFE5DA63}"/>
            </a:ext>
          </a:extLst>
        </xdr:cNvPr>
        <xdr:cNvSpPr txBox="1"/>
      </xdr:nvSpPr>
      <xdr:spPr>
        <a:xfrm>
          <a:off x="209057" y="2568151"/>
          <a:ext cx="1031226" cy="274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B66FC10-4D59-4890-92DC-CD4E98B48639}" type="TxLink">
            <a:rPr lang="en-US" sz="1600" b="0" i="0" u="none" strike="noStrike">
              <a:solidFill>
                <a:schemeClr val="bg1"/>
              </a:solidFill>
              <a:latin typeface="Aptos Narrow"/>
              <a:ea typeface="+mn-ea"/>
              <a:cs typeface="Aharoni" panose="020F0502020204030204" pitchFamily="2" charset="-79"/>
            </a:rPr>
            <a:pPr marL="0" indent="0" algn="l"/>
            <a:t>$3,936.08</a:t>
          </a:fld>
          <a:endParaRPr lang="en-CA" sz="1600" b="0" i="0" u="none" strike="noStrike">
            <a:solidFill>
              <a:schemeClr val="bg1"/>
            </a:solidFill>
            <a:latin typeface="Aptos Narrow"/>
            <a:ea typeface="+mn-ea"/>
            <a:cs typeface="Aharoni" panose="020F0502020204030204" pitchFamily="2" charset="-79"/>
          </a:endParaRPr>
        </a:p>
      </xdr:txBody>
    </xdr:sp>
    <xdr:clientData/>
  </xdr:twoCellAnchor>
  <xdr:twoCellAnchor>
    <xdr:from>
      <xdr:col>1</xdr:col>
      <xdr:colOff>51912</xdr:colOff>
      <xdr:row>13</xdr:row>
      <xdr:rowOff>152826</xdr:rowOff>
    </xdr:from>
    <xdr:to>
      <xdr:col>2</xdr:col>
      <xdr:colOff>89673</xdr:colOff>
      <xdr:row>13</xdr:row>
      <xdr:rowOff>152826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360460D-3438-3B32-02E1-FDE7840D61D6}"/>
            </a:ext>
          </a:extLst>
        </xdr:cNvPr>
        <xdr:cNvCxnSpPr/>
      </xdr:nvCxnSpPr>
      <xdr:spPr>
        <a:xfrm>
          <a:off x="271720" y="2534076"/>
          <a:ext cx="64589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203541</xdr:colOff>
      <xdr:row>8</xdr:row>
      <xdr:rowOff>39187</xdr:rowOff>
    </xdr:from>
    <xdr:to>
      <xdr:col>2</xdr:col>
      <xdr:colOff>550206</xdr:colOff>
      <xdr:row>10</xdr:row>
      <xdr:rowOff>16375</xdr:rowOff>
    </xdr:to>
    <xdr:pic>
      <xdr:nvPicPr>
        <xdr:cNvPr id="112" name="Graphic 111" descr="Credit card with solid fill">
          <a:extLst>
            <a:ext uri="{FF2B5EF4-FFF2-40B4-BE49-F238E27FC236}">
              <a16:creationId xmlns:a16="http://schemas.microsoft.com/office/drawing/2014/main" id="{A2D01B82-C429-E5B7-5242-09C952D5E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31483" y="1504572"/>
          <a:ext cx="352380" cy="343534"/>
        </a:xfrm>
        <a:prstGeom prst="rect">
          <a:avLst/>
        </a:prstGeom>
      </xdr:spPr>
    </xdr:pic>
    <xdr:clientData/>
  </xdr:twoCellAnchor>
  <xdr:twoCellAnchor>
    <xdr:from>
      <xdr:col>1</xdr:col>
      <xdr:colOff>11728</xdr:colOff>
      <xdr:row>16</xdr:row>
      <xdr:rowOff>55265</xdr:rowOff>
    </xdr:from>
    <xdr:to>
      <xdr:col>2</xdr:col>
      <xdr:colOff>394959</xdr:colOff>
      <xdr:row>17</xdr:row>
      <xdr:rowOff>163564</xdr:rowOff>
    </xdr:to>
    <xdr:sp macro="" textlink="Formulas!A7">
      <xdr:nvSpPr>
        <xdr:cNvPr id="115" name="TextBox 114">
          <a:extLst>
            <a:ext uri="{FF2B5EF4-FFF2-40B4-BE49-F238E27FC236}">
              <a16:creationId xmlns:a16="http://schemas.microsoft.com/office/drawing/2014/main" id="{4B323934-DA7A-4E4F-9DF0-1A0E7A790D49}"/>
            </a:ext>
          </a:extLst>
        </xdr:cNvPr>
        <xdr:cNvSpPr txBox="1"/>
      </xdr:nvSpPr>
      <xdr:spPr>
        <a:xfrm>
          <a:off x="229442" y="2929094"/>
          <a:ext cx="1205103" cy="2879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A1C2232-21BB-4EC3-8C25-A3DEA34C98DD}" type="TxLink">
            <a:rPr lang="en-US" sz="1600" b="0" i="0" u="none" strike="noStrike">
              <a:solidFill>
                <a:schemeClr val="bg1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pPr marL="0" indent="0" algn="l"/>
            <a:t>Total</a:t>
          </a:fld>
          <a:endParaRPr lang="en-CA" sz="1600" b="0" i="0" u="none" strike="noStrike">
            <a:solidFill>
              <a:schemeClr val="bg1"/>
            </a:solidFill>
            <a:latin typeface="Aharoni" panose="02010803020104030203" pitchFamily="2" charset="-79"/>
            <a:ea typeface="+mn-ea"/>
            <a:cs typeface="Aharoni" panose="02010803020104030203" pitchFamily="2" charset="-79"/>
          </a:endParaRPr>
        </a:p>
      </xdr:txBody>
    </xdr:sp>
    <xdr:clientData/>
  </xdr:twoCellAnchor>
  <xdr:twoCellAnchor>
    <xdr:from>
      <xdr:col>1</xdr:col>
      <xdr:colOff>6101</xdr:colOff>
      <xdr:row>18</xdr:row>
      <xdr:rowOff>18382</xdr:rowOff>
    </xdr:from>
    <xdr:to>
      <xdr:col>2</xdr:col>
      <xdr:colOff>410143</xdr:colOff>
      <xdr:row>19</xdr:row>
      <xdr:rowOff>107405</xdr:rowOff>
    </xdr:to>
    <xdr:sp macro="" textlink="Formulas!B7">
      <xdr:nvSpPr>
        <xdr:cNvPr id="116" name="TextBox 115">
          <a:extLst>
            <a:ext uri="{FF2B5EF4-FFF2-40B4-BE49-F238E27FC236}">
              <a16:creationId xmlns:a16="http://schemas.microsoft.com/office/drawing/2014/main" id="{01DC1A86-928A-41AA-B69A-AF24AFE3334A}"/>
            </a:ext>
          </a:extLst>
        </xdr:cNvPr>
        <xdr:cNvSpPr txBox="1"/>
      </xdr:nvSpPr>
      <xdr:spPr>
        <a:xfrm>
          <a:off x="225909" y="3315497"/>
          <a:ext cx="1224657" cy="2721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E1BB338-3357-4FD8-B09D-45F72531B1A4}" type="TxLink">
            <a:rPr lang="en-US" sz="1600" b="0" i="0" u="none" strike="noStrike">
              <a:solidFill>
                <a:schemeClr val="bg1"/>
              </a:solidFill>
              <a:latin typeface="Aptos Narrow"/>
              <a:ea typeface="+mn-ea"/>
              <a:cs typeface="Aharoni" panose="020F0502020204030204" pitchFamily="2" charset="-79"/>
            </a:rPr>
            <a:pPr marL="0" indent="0" algn="l"/>
            <a:t>$8,709.83</a:t>
          </a:fld>
          <a:endParaRPr lang="en-CA" sz="1600" b="0" i="0" u="none" strike="noStrike">
            <a:solidFill>
              <a:schemeClr val="bg1"/>
            </a:solidFill>
            <a:latin typeface="Aptos Narrow"/>
            <a:ea typeface="+mn-ea"/>
            <a:cs typeface="Aharoni" panose="020F0502020204030204" pitchFamily="2" charset="-79"/>
          </a:endParaRPr>
        </a:p>
      </xdr:txBody>
    </xdr:sp>
    <xdr:clientData/>
  </xdr:twoCellAnchor>
  <xdr:twoCellAnchor editAs="oneCell">
    <xdr:from>
      <xdr:col>2</xdr:col>
      <xdr:colOff>210030</xdr:colOff>
      <xdr:row>16</xdr:row>
      <xdr:rowOff>30354</xdr:rowOff>
    </xdr:from>
    <xdr:to>
      <xdr:col>3</xdr:col>
      <xdr:colOff>15675</xdr:colOff>
      <xdr:row>18</xdr:row>
      <xdr:rowOff>1083</xdr:rowOff>
    </xdr:to>
    <xdr:pic>
      <xdr:nvPicPr>
        <xdr:cNvPr id="118" name="Graphic 117" descr="Dollar outline">
          <a:extLst>
            <a:ext uri="{FF2B5EF4-FFF2-40B4-BE49-F238E27FC236}">
              <a16:creationId xmlns:a16="http://schemas.microsoft.com/office/drawing/2014/main" id="{735B5377-8AB3-E29F-EFB1-804EBB61F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49616" y="2904183"/>
          <a:ext cx="380955" cy="329957"/>
        </a:xfrm>
        <a:prstGeom prst="rect">
          <a:avLst/>
        </a:prstGeom>
      </xdr:spPr>
    </xdr:pic>
    <xdr:clientData/>
  </xdr:twoCellAnchor>
  <xdr:twoCellAnchor editAs="oneCell">
    <xdr:from>
      <xdr:col>2</xdr:col>
      <xdr:colOff>169818</xdr:colOff>
      <xdr:row>12</xdr:row>
      <xdr:rowOff>28847</xdr:rowOff>
    </xdr:from>
    <xdr:to>
      <xdr:col>2</xdr:col>
      <xdr:colOff>552678</xdr:colOff>
      <xdr:row>14</xdr:row>
      <xdr:rowOff>18228</xdr:rowOff>
    </xdr:to>
    <xdr:pic>
      <xdr:nvPicPr>
        <xdr:cNvPr id="120" name="Graphic 119" descr="Bank with solid fill">
          <a:extLst>
            <a:ext uri="{FF2B5EF4-FFF2-40B4-BE49-F238E27FC236}">
              <a16:creationId xmlns:a16="http://schemas.microsoft.com/office/drawing/2014/main" id="{A3F90ACD-67CA-CD5D-82A2-F42831078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09404" y="2184218"/>
          <a:ext cx="373335" cy="344800"/>
        </a:xfrm>
        <a:prstGeom prst="rect">
          <a:avLst/>
        </a:prstGeom>
      </xdr:spPr>
    </xdr:pic>
    <xdr:clientData/>
  </xdr:twoCellAnchor>
  <xdr:twoCellAnchor>
    <xdr:from>
      <xdr:col>10</xdr:col>
      <xdr:colOff>752475</xdr:colOff>
      <xdr:row>22</xdr:row>
      <xdr:rowOff>133350</xdr:rowOff>
    </xdr:from>
    <xdr:to>
      <xdr:col>24</xdr:col>
      <xdr:colOff>228600</xdr:colOff>
      <xdr:row>36</xdr:row>
      <xdr:rowOff>152400</xdr:rowOff>
    </xdr:to>
    <xdr:graphicFrame macro="">
      <xdr:nvGraphicFramePr>
        <xdr:cNvPr id="121" name="Chart 120">
          <a:extLst>
            <a:ext uri="{FF2B5EF4-FFF2-40B4-BE49-F238E27FC236}">
              <a16:creationId xmlns:a16="http://schemas.microsoft.com/office/drawing/2014/main" id="{C27FC220-C2AB-8FC9-F146-2F431AF45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181784</xdr:colOff>
      <xdr:row>0</xdr:row>
      <xdr:rowOff>98195</xdr:rowOff>
    </xdr:from>
    <xdr:to>
      <xdr:col>17</xdr:col>
      <xdr:colOff>1154</xdr:colOff>
      <xdr:row>10</xdr:row>
      <xdr:rowOff>179660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3DE7BE9A-FD03-CCE4-79DC-CBEE3E3FE4AD}"/>
            </a:ext>
          </a:extLst>
        </xdr:cNvPr>
        <xdr:cNvGrpSpPr/>
      </xdr:nvGrpSpPr>
      <xdr:grpSpPr>
        <a:xfrm>
          <a:off x="5285279" y="94385"/>
          <a:ext cx="5002875" cy="1893120"/>
          <a:chOff x="5311140" y="102005"/>
          <a:chExt cx="4834081" cy="1888720"/>
        </a:xfrm>
      </xdr:grpSpPr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AE0D1D90-5E06-4DB7-AE35-F750E6A39BAB}"/>
              </a:ext>
            </a:extLst>
          </xdr:cNvPr>
          <xdr:cNvSpPr>
            <a:spLocks/>
          </xdr:cNvSpPr>
        </xdr:nvSpPr>
        <xdr:spPr>
          <a:xfrm>
            <a:off x="5311140" y="129540"/>
            <a:ext cx="4813935" cy="1861185"/>
          </a:xfrm>
          <a:prstGeom prst="roundRect">
            <a:avLst>
              <a:gd name="adj" fmla="val 3649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63500" dist="635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31D73F54-474E-47A3-8075-DDD1E63F3DE1}"/>
              </a:ext>
            </a:extLst>
          </xdr:cNvPr>
          <xdr:cNvGraphicFramePr>
            <a:graphicFrameLocks/>
          </xdr:cNvGraphicFramePr>
        </xdr:nvGraphicFramePr>
        <xdr:xfrm>
          <a:off x="5402461" y="467282"/>
          <a:ext cx="4721510" cy="14391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512B9EE-7D7B-4C8D-9556-6DAE443A3700}"/>
              </a:ext>
            </a:extLst>
          </xdr:cNvPr>
          <xdr:cNvSpPr txBox="1"/>
        </xdr:nvSpPr>
        <xdr:spPr>
          <a:xfrm>
            <a:off x="5374178" y="102005"/>
            <a:ext cx="2759190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800" b="1" i="0" u="none" strike="noStrike">
                <a:solidFill>
                  <a:schemeClr val="tx1"/>
                </a:solidFill>
                <a:latin typeface="+mn-lt"/>
              </a:rPr>
              <a:t>Income</a:t>
            </a:r>
            <a:r>
              <a:rPr lang="en-US" sz="1800" b="1" i="0" u="none" strike="noStrike" baseline="0">
                <a:solidFill>
                  <a:schemeClr val="tx1"/>
                </a:solidFill>
                <a:latin typeface="+mn-lt"/>
              </a:rPr>
              <a:t> by Category</a:t>
            </a:r>
            <a:endParaRPr lang="en-US" sz="1800" b="1" i="0" u="none" strike="noStrike">
              <a:solidFill>
                <a:schemeClr val="tx1"/>
              </a:solidFill>
              <a:latin typeface="+mn-lt"/>
            </a:endParaRPr>
          </a:p>
        </xdr:txBody>
      </xdr:sp>
      <xdr:sp macro="" textlink="Dashboard!K5">
        <xdr:nvSpPr>
          <xdr:cNvPr id="16" name="TextBox 15">
            <a:extLst>
              <a:ext uri="{FF2B5EF4-FFF2-40B4-BE49-F238E27FC236}">
                <a16:creationId xmlns:a16="http://schemas.microsoft.com/office/drawing/2014/main" id="{D36FDBD4-1B92-4C8E-97F5-B9182A58EEFB}"/>
              </a:ext>
            </a:extLst>
          </xdr:cNvPr>
          <xdr:cNvSpPr txBox="1"/>
        </xdr:nvSpPr>
        <xdr:spPr>
          <a:xfrm>
            <a:off x="8527646" y="324543"/>
            <a:ext cx="161757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r"/>
            <a:fld id="{C4A48B35-8396-456A-A94B-61885094366C}" type="TxLink">
              <a:rPr lang="en-US" sz="1800" b="1" i="0" u="none" strike="noStrike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pPr marL="0" indent="0" algn="r"/>
              <a:t>$4,080.00</a:t>
            </a:fld>
            <a:endParaRPr lang="en-CA" sz="1800" b="1" i="0" u="none" strike="noStrike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212606C-0CC4-4796-8BC4-5A255FB20C10}"/>
              </a:ext>
            </a:extLst>
          </xdr:cNvPr>
          <xdr:cNvSpPr txBox="1"/>
        </xdr:nvSpPr>
        <xdr:spPr>
          <a:xfrm>
            <a:off x="8527646" y="124518"/>
            <a:ext cx="161757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800" b="1" i="0" u="none" strike="noStrike">
                <a:solidFill>
                  <a:schemeClr val="bg2">
                    <a:lumMod val="50000"/>
                  </a:schemeClr>
                </a:solidFill>
                <a:latin typeface="+mn-lt"/>
              </a:rPr>
              <a:t>Total Income</a:t>
            </a:r>
          </a:p>
        </xdr:txBody>
      </xdr:sp>
    </xdr:grpSp>
    <xdr:clientData/>
  </xdr:twoCellAnchor>
  <xdr:twoCellAnchor>
    <xdr:from>
      <xdr:col>18</xdr:col>
      <xdr:colOff>15240</xdr:colOff>
      <xdr:row>0</xdr:row>
      <xdr:rowOff>129540</xdr:rowOff>
    </xdr:from>
    <xdr:to>
      <xdr:col>24</xdr:col>
      <xdr:colOff>0</xdr:colOff>
      <xdr:row>11</xdr:row>
      <xdr:rowOff>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6A360A19-B9DB-4FD5-A461-825EF62334D9}"/>
            </a:ext>
          </a:extLst>
        </xdr:cNvPr>
        <xdr:cNvSpPr>
          <a:spLocks/>
        </xdr:cNvSpPr>
      </xdr:nvSpPr>
      <xdr:spPr>
        <a:xfrm>
          <a:off x="10549890" y="129540"/>
          <a:ext cx="3661410" cy="1861185"/>
        </a:xfrm>
        <a:prstGeom prst="roundRect">
          <a:avLst>
            <a:gd name="adj" fmla="val 3649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18</xdr:col>
      <xdr:colOff>327660</xdr:colOff>
      <xdr:row>1</xdr:row>
      <xdr:rowOff>129540</xdr:rowOff>
    </xdr:from>
    <xdr:to>
      <xdr:col>22</xdr:col>
      <xdr:colOff>426720</xdr:colOff>
      <xdr:row>10</xdr:row>
      <xdr:rowOff>144780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005C4DA-19DD-352B-BBFA-EAF810109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182880</xdr:colOff>
      <xdr:row>9</xdr:row>
      <xdr:rowOff>15240</xdr:rowOff>
    </xdr:from>
    <xdr:to>
      <xdr:col>23</xdr:col>
      <xdr:colOff>583680</xdr:colOff>
      <xdr:row>11</xdr:row>
      <xdr:rowOff>7620</xdr:rowOff>
    </xdr:to>
    <xdr:sp macro="" textlink="Dashboard!T5">
      <xdr:nvSpPr>
        <xdr:cNvPr id="19" name="TextBox 18">
          <a:extLst>
            <a:ext uri="{FF2B5EF4-FFF2-40B4-BE49-F238E27FC236}">
              <a16:creationId xmlns:a16="http://schemas.microsoft.com/office/drawing/2014/main" id="{E174B5DE-21C0-40A6-BD02-2A338D06679A}"/>
            </a:ext>
          </a:extLst>
        </xdr:cNvPr>
        <xdr:cNvSpPr txBox="1"/>
      </xdr:nvSpPr>
      <xdr:spPr>
        <a:xfrm>
          <a:off x="12237720" y="1661160"/>
          <a:ext cx="1620000" cy="358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/>
          <a:fld id="{604C916C-6AF8-4112-8D5F-FE4658245677}" type="TxLink">
            <a:rPr lang="en-US" sz="1800" b="1" i="0" u="none" strike="noStrike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pPr marL="0" indent="0" algn="r"/>
            <a:t>$998.86</a:t>
          </a:fld>
          <a:endParaRPr lang="en-CA" sz="1800" b="1" i="0" u="none" strike="noStrike">
            <a:solidFill>
              <a:schemeClr val="accent6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182880</xdr:colOff>
      <xdr:row>7</xdr:row>
      <xdr:rowOff>175260</xdr:rowOff>
    </xdr:from>
    <xdr:to>
      <xdr:col>23</xdr:col>
      <xdr:colOff>583680</xdr:colOff>
      <xdr:row>9</xdr:row>
      <xdr:rowOff>167640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33FB352-2A1B-4606-9E33-4FE865BF84CD}"/>
            </a:ext>
          </a:extLst>
        </xdr:cNvPr>
        <xdr:cNvSpPr txBox="1"/>
      </xdr:nvSpPr>
      <xdr:spPr>
        <a:xfrm>
          <a:off x="12237720" y="1455420"/>
          <a:ext cx="1620000" cy="358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800" b="1" i="0" u="none" strike="noStrike">
              <a:solidFill>
                <a:schemeClr val="bg2">
                  <a:lumMod val="50000"/>
                </a:schemeClr>
              </a:solidFill>
              <a:latin typeface="+mn-lt"/>
            </a:rPr>
            <a:t>Total Savings</a:t>
          </a:r>
        </a:p>
      </xdr:txBody>
    </xdr:sp>
    <xdr:clientData/>
  </xdr:twoCellAnchor>
  <xdr:twoCellAnchor>
    <xdr:from>
      <xdr:col>18</xdr:col>
      <xdr:colOff>44854</xdr:colOff>
      <xdr:row>0</xdr:row>
      <xdr:rowOff>102005</xdr:rowOff>
    </xdr:from>
    <xdr:to>
      <xdr:col>22</xdr:col>
      <xdr:colOff>344689</xdr:colOff>
      <xdr:row>2</xdr:row>
      <xdr:rowOff>92480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124AF79-81BA-4FE3-858C-4384E6CC9F0E}"/>
            </a:ext>
          </a:extLst>
        </xdr:cNvPr>
        <xdr:cNvSpPr txBox="1"/>
      </xdr:nvSpPr>
      <xdr:spPr>
        <a:xfrm>
          <a:off x="10579504" y="102005"/>
          <a:ext cx="275728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 i="0" u="none" strike="noStrike">
              <a:solidFill>
                <a:schemeClr val="tx1"/>
              </a:solidFill>
              <a:latin typeface="+mn-lt"/>
            </a:rPr>
            <a:t>Income</a:t>
          </a:r>
          <a:r>
            <a:rPr lang="en-US" sz="1800" b="1" i="0" u="none" strike="noStrike" baseline="0">
              <a:solidFill>
                <a:schemeClr val="tx1"/>
              </a:solidFill>
              <a:latin typeface="+mn-lt"/>
            </a:rPr>
            <a:t> Saved</a:t>
          </a:r>
        </a:p>
      </xdr:txBody>
    </xdr:sp>
    <xdr:clientData/>
  </xdr:twoCellAnchor>
  <xdr:twoCellAnchor>
    <xdr:from>
      <xdr:col>19</xdr:col>
      <xdr:colOff>539115</xdr:colOff>
      <xdr:row>4</xdr:row>
      <xdr:rowOff>91440</xdr:rowOff>
    </xdr:from>
    <xdr:to>
      <xdr:col>21</xdr:col>
      <xdr:colOff>264795</xdr:colOff>
      <xdr:row>6</xdr:row>
      <xdr:rowOff>53340</xdr:rowOff>
    </xdr:to>
    <xdr:sp macro="" textlink="Dashboard!U5">
      <xdr:nvSpPr>
        <xdr:cNvPr id="25" name="TextBox 24">
          <a:extLst>
            <a:ext uri="{FF2B5EF4-FFF2-40B4-BE49-F238E27FC236}">
              <a16:creationId xmlns:a16="http://schemas.microsoft.com/office/drawing/2014/main" id="{348964E3-E319-4FBA-8628-0A31C8ECA782}"/>
            </a:ext>
          </a:extLst>
        </xdr:cNvPr>
        <xdr:cNvSpPr txBox="1"/>
      </xdr:nvSpPr>
      <xdr:spPr>
        <a:xfrm>
          <a:off x="11702415" y="815340"/>
          <a:ext cx="94488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93E8BDB6-41E8-4FDC-B83E-9234B9976DC8}" type="TxLink">
            <a:rPr lang="en-US" sz="1800" b="1" i="0" u="none" strike="noStrike">
              <a:solidFill>
                <a:schemeClr val="accent6">
                  <a:lumMod val="75000"/>
                </a:schemeClr>
              </a:solidFill>
              <a:latin typeface="Aptos Narrow"/>
              <a:ea typeface="+mn-ea"/>
              <a:cs typeface="+mn-cs"/>
            </a:rPr>
            <a:pPr marL="0" indent="0" algn="ctr"/>
            <a:t>24.48%</a:t>
          </a:fld>
          <a:endParaRPr lang="en-CA" sz="2400" b="1" i="0" u="none" strike="noStrike">
            <a:solidFill>
              <a:schemeClr val="accent6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582930</xdr:colOff>
      <xdr:row>5</xdr:row>
      <xdr:rowOff>129540</xdr:rowOff>
    </xdr:from>
    <xdr:to>
      <xdr:col>21</xdr:col>
      <xdr:colOff>183630</xdr:colOff>
      <xdr:row>7</xdr:row>
      <xdr:rowOff>83820</xdr:rowOff>
    </xdr:to>
    <xdr:sp macro="" textlink="Dashboard!U4">
      <xdr:nvSpPr>
        <xdr:cNvPr id="26" name="TextBox 25">
          <a:extLst>
            <a:ext uri="{FF2B5EF4-FFF2-40B4-BE49-F238E27FC236}">
              <a16:creationId xmlns:a16="http://schemas.microsoft.com/office/drawing/2014/main" id="{FDEDE3A9-2146-43F5-8321-73DD647626E6}"/>
            </a:ext>
          </a:extLst>
        </xdr:cNvPr>
        <xdr:cNvSpPr txBox="1"/>
      </xdr:nvSpPr>
      <xdr:spPr>
        <a:xfrm>
          <a:off x="11418570" y="1043940"/>
          <a:ext cx="8199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99E925F8-9ECD-469D-9041-90B7DFAB3480}" type="TxLink">
            <a:rPr lang="en-US" sz="1200" b="1" i="0" u="none" strike="noStrike">
              <a:solidFill>
                <a:srgbClr val="FF0000"/>
              </a:solidFill>
              <a:latin typeface="Aptos Narrow"/>
              <a:ea typeface="+mn-ea"/>
              <a:cs typeface="+mn-cs"/>
            </a:rPr>
            <a:pPr marL="0" indent="0" algn="ctr"/>
            <a:t>75.52%</a:t>
          </a:fld>
          <a:endParaRPr lang="en-CA" sz="1600" b="1" i="0" u="none" strike="noStrike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0</xdr:colOff>
      <xdr:row>12</xdr:row>
      <xdr:rowOff>59053</xdr:rowOff>
    </xdr:from>
    <xdr:to>
      <xdr:col>24</xdr:col>
      <xdr:colOff>0</xdr:colOff>
      <xdr:row>29</xdr:row>
      <xdr:rowOff>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30761969-2690-68A6-697D-C801969AF925}"/>
            </a:ext>
          </a:extLst>
        </xdr:cNvPr>
        <xdr:cNvGrpSpPr/>
      </xdr:nvGrpSpPr>
      <xdr:grpSpPr>
        <a:xfrm>
          <a:off x="5295900" y="2226943"/>
          <a:ext cx="8915400" cy="3021332"/>
          <a:chOff x="5181600" y="4823457"/>
          <a:chExt cx="8915400" cy="3013712"/>
        </a:xfrm>
      </xdr:grpSpPr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BFF8BED3-631F-C006-742D-4AD3BC5147EC}"/>
              </a:ext>
            </a:extLst>
          </xdr:cNvPr>
          <xdr:cNvGrpSpPr/>
        </xdr:nvGrpSpPr>
        <xdr:grpSpPr>
          <a:xfrm>
            <a:off x="5181600" y="4823457"/>
            <a:ext cx="8915400" cy="3017522"/>
            <a:chOff x="5295900" y="2162133"/>
            <a:chExt cx="8877300" cy="3019425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017C541C-6724-BFE2-D53B-C6D230DA1DA5}"/>
                </a:ext>
              </a:extLst>
            </xdr:cNvPr>
            <xdr:cNvSpPr>
              <a:spLocks/>
            </xdr:cNvSpPr>
          </xdr:nvSpPr>
          <xdr:spPr>
            <a:xfrm>
              <a:off x="5295900" y="2162133"/>
              <a:ext cx="8877300" cy="3019425"/>
            </a:xfrm>
            <a:prstGeom prst="roundRect">
              <a:avLst>
                <a:gd name="adj" fmla="val 364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63500" dist="635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Dashboard!O15">
          <xdr:nvSpPr>
            <xdr:cNvPr id="5" name="TextBox 4">
              <a:extLst>
                <a:ext uri="{FF2B5EF4-FFF2-40B4-BE49-F238E27FC236}">
                  <a16:creationId xmlns:a16="http://schemas.microsoft.com/office/drawing/2014/main" id="{1A9EDB67-1BDA-3704-E965-3065E69C2E9B}"/>
                </a:ext>
              </a:extLst>
            </xdr:cNvPr>
            <xdr:cNvSpPr txBox="1"/>
          </xdr:nvSpPr>
          <xdr:spPr>
            <a:xfrm>
              <a:off x="12473940" y="2444115"/>
              <a:ext cx="1631430" cy="3581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fld id="{622AC00E-D946-4D8C-9353-D83CDC267D4D}" type="TxLink">
                <a:rPr lang="en-US" sz="1800" b="1" i="0" u="none" strike="noStrike">
                  <a:solidFill>
                    <a:srgbClr val="CC0000"/>
                  </a:solidFill>
                  <a:latin typeface="+mn-lt"/>
                </a:rPr>
                <a:pPr algn="r"/>
                <a:t>$3,081.14</a:t>
              </a:fld>
              <a:endParaRPr lang="en-CA" sz="1800">
                <a:solidFill>
                  <a:srgbClr val="CC0000"/>
                </a:solidFill>
                <a:latin typeface="+mn-lt"/>
              </a:endParaRPr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CD92F72-C282-4C92-844D-FB9792EB9CD7}"/>
                </a:ext>
              </a:extLst>
            </xdr:cNvPr>
            <xdr:cNvSpPr txBox="1"/>
          </xdr:nvSpPr>
          <xdr:spPr>
            <a:xfrm>
              <a:off x="12473940" y="2236470"/>
              <a:ext cx="1631430" cy="3505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en-US" sz="1800" b="1" i="0" u="none" strike="noStrike">
                  <a:solidFill>
                    <a:schemeClr val="bg2">
                      <a:lumMod val="50000"/>
                    </a:schemeClr>
                  </a:solidFill>
                  <a:latin typeface="+mn-lt"/>
                </a:rPr>
                <a:t>Total Expenses</a:t>
              </a: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8D9A261-DE3E-4233-9A13-0A68DFA3DE4E}"/>
                </a:ext>
              </a:extLst>
            </xdr:cNvPr>
            <xdr:cNvSpPr txBox="1"/>
          </xdr:nvSpPr>
          <xdr:spPr>
            <a:xfrm>
              <a:off x="5374178" y="2263140"/>
              <a:ext cx="2884920" cy="3581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800" b="1" i="0" u="none" strike="noStrike">
                  <a:solidFill>
                    <a:schemeClr val="tx1"/>
                  </a:solidFill>
                  <a:latin typeface="+mn-lt"/>
                </a:rPr>
                <a:t>Expenses</a:t>
              </a:r>
              <a:r>
                <a:rPr lang="en-US" sz="1800" b="1" i="0" u="none" strike="noStrike" baseline="0">
                  <a:solidFill>
                    <a:schemeClr val="tx1"/>
                  </a:solidFill>
                  <a:latin typeface="+mn-lt"/>
                </a:rPr>
                <a:t> by Category</a:t>
              </a:r>
              <a:endParaRPr lang="en-US" sz="1800" b="1" i="0" u="none" strike="noStrike">
                <a:solidFill>
                  <a:schemeClr val="tx1"/>
                </a:solidFill>
                <a:latin typeface="+mn-lt"/>
              </a:endParaRPr>
            </a:p>
          </xdr:txBody>
        </xdr:sp>
      </xdr:grpSp>
      <xdr:graphicFrame macro="">
        <xdr:nvGraphicFramePr>
          <xdr:cNvPr id="39" name="Chart 38">
            <a:extLst>
              <a:ext uri="{FF2B5EF4-FFF2-40B4-BE49-F238E27FC236}">
                <a16:creationId xmlns:a16="http://schemas.microsoft.com/office/drawing/2014/main" id="{26637D73-42E2-4880-D177-8FB3711D632C}"/>
              </a:ext>
            </a:extLst>
          </xdr:cNvPr>
          <xdr:cNvGraphicFramePr/>
        </xdr:nvGraphicFramePr>
        <xdr:xfrm>
          <a:off x="5389244" y="5248275"/>
          <a:ext cx="8479156" cy="24850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C6E08-5E7B-40FC-94C7-968BBC94B729}" name="tCatTrans" displayName="tCatTrans" ref="A3:C20" totalsRowShown="0">
  <autoFilter ref="A3:C20" xr:uid="{C6EC6E08-5E7B-40FC-94C7-968BBC94B729}"/>
  <tableColumns count="3">
    <tableColumn id="1" xr3:uid="{8F554072-99E2-424C-9994-AC089078BD17}" name="CategoryID" dataDxfId="16"/>
    <tableColumn id="2" xr3:uid="{3639FE8E-E140-431C-B6CE-020F6A0FDA31}" name="TransactionID" dataDxfId="15"/>
    <tableColumn id="3" xr3:uid="{3F728946-2107-40F7-B819-C097CFE318AE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1A176C-C147-4EBD-A7C8-955DFA646E61}" name="tAcc" displayName="tAcc" ref="E3:F6" totalsRowShown="0">
  <autoFilter ref="E3:F6" xr:uid="{921A176C-C147-4EBD-A7C8-955DFA646E61}"/>
  <tableColumns count="2">
    <tableColumn id="1" xr3:uid="{E8CF5DC5-C4F8-43C6-8EE2-395EB8B9CF26}" name="AccountID" dataDxfId="14"/>
    <tableColumn id="2" xr3:uid="{DEAD34C3-7692-47B7-99DF-99C6C72FB578}" name="Account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F3D3E8-FEDA-4B3B-B6F1-951481C4E94A}" name="tParties" displayName="tParties" ref="H3:I28" totalsRowShown="0">
  <autoFilter ref="H3:I28" xr:uid="{7DF3D3E8-FEDA-4B3B-B6F1-951481C4E94A}"/>
  <tableColumns count="2">
    <tableColumn id="1" xr3:uid="{6A1C3037-4392-43FD-9D24-92A0B1445C85}" name="PartyID" dataDxfId="13"/>
    <tableColumn id="2" xr3:uid="{022C3635-9F35-4FAD-AD33-CD038E58E5CB}" name="Par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010BD0-15EE-4B42-AF92-186420B37278}" name="tTransactions" displayName="tTransactions" ref="A3:F210" totalsRowShown="0" headerRowDxfId="12">
  <autoFilter ref="A3:F210" xr:uid="{0F010BD0-15EE-4B42-AF92-186420B37278}"/>
  <tableColumns count="6">
    <tableColumn id="8" xr3:uid="{3909C7EA-061A-40F0-BAD6-5D6BC52BC759}" name="ID" dataDxfId="10" totalsRowDxfId="11"/>
    <tableColumn id="1" xr3:uid="{2A0F8DC5-0035-4CA0-B5F9-9564563BD0A7}" name="Date" totalsRowDxfId="9"/>
    <tableColumn id="2" xr3:uid="{53A30926-2526-4AF6-A9C8-0500ABA6BCB4}" name="Category" totalsRowDxfId="8"/>
    <tableColumn id="6" xr3:uid="{31442EC6-9E2A-4E27-B454-34A681B3A2F3}" name="Party" totalsRowDxfId="7"/>
    <tableColumn id="4" xr3:uid="{28C9C3E5-EC37-4518-AC21-BF0500F30D30}" name="Account" dataDxfId="5" totalsRowDxfId="6"/>
    <tableColumn id="5" xr3:uid="{51E17404-A431-47BD-AA69-0D0BB7EBC3E8}" name="Amount" dataDxfId="3" totalsRow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1B58-B5AB-4868-BD76-2DF5415F61FA}">
  <dimension ref="A1:I47"/>
  <sheetViews>
    <sheetView workbookViewId="0">
      <selection activeCell="K10" sqref="K10"/>
    </sheetView>
  </sheetViews>
  <sheetFormatPr defaultRowHeight="14.4" x14ac:dyDescent="0.3"/>
  <cols>
    <col min="1" max="1" width="15.33203125" customWidth="1"/>
    <col min="2" max="2" width="17.88671875" customWidth="1"/>
    <col min="3" max="3" width="14.88671875" customWidth="1"/>
    <col min="5" max="5" width="14.6640625" customWidth="1"/>
    <col min="6" max="6" width="16" customWidth="1"/>
    <col min="8" max="8" width="10.88671875" customWidth="1"/>
    <col min="9" max="9" width="20.44140625" customWidth="1"/>
    <col min="11" max="11" width="11.44140625" customWidth="1"/>
    <col min="12" max="12" width="13.44140625" customWidth="1"/>
  </cols>
  <sheetData>
    <row r="1" spans="1:9" ht="20.399999999999999" customHeight="1" x14ac:dyDescent="0.35">
      <c r="A1" s="30" t="s">
        <v>46</v>
      </c>
      <c r="B1" s="30"/>
      <c r="C1" s="2"/>
      <c r="D1" s="2"/>
      <c r="E1" s="30" t="s">
        <v>19</v>
      </c>
      <c r="F1" s="30"/>
      <c r="H1" s="30" t="s">
        <v>44</v>
      </c>
      <c r="I1" s="30"/>
    </row>
    <row r="3" spans="1:9" x14ac:dyDescent="0.3">
      <c r="A3" t="s">
        <v>0</v>
      </c>
      <c r="B3" t="s">
        <v>36</v>
      </c>
      <c r="C3" t="s">
        <v>1</v>
      </c>
      <c r="E3" t="s">
        <v>15</v>
      </c>
      <c r="F3" t="s">
        <v>16</v>
      </c>
      <c r="H3" t="s">
        <v>40</v>
      </c>
      <c r="I3" t="s">
        <v>43</v>
      </c>
    </row>
    <row r="4" spans="1:9" x14ac:dyDescent="0.3">
      <c r="A4" s="3">
        <v>1</v>
      </c>
      <c r="B4" s="3">
        <v>1</v>
      </c>
      <c r="C4" t="s">
        <v>2</v>
      </c>
      <c r="E4" s="3">
        <v>1</v>
      </c>
      <c r="F4" t="s">
        <v>17</v>
      </c>
      <c r="H4" s="3">
        <v>1</v>
      </c>
      <c r="I4" s="31" t="s">
        <v>71</v>
      </c>
    </row>
    <row r="5" spans="1:9" x14ac:dyDescent="0.3">
      <c r="A5" s="3">
        <v>2</v>
      </c>
      <c r="B5" s="3">
        <v>1</v>
      </c>
      <c r="C5" t="s">
        <v>66</v>
      </c>
      <c r="E5" s="3">
        <v>2</v>
      </c>
      <c r="F5" t="s">
        <v>18</v>
      </c>
      <c r="H5" s="3">
        <v>2</v>
      </c>
      <c r="I5" s="31" t="s">
        <v>41</v>
      </c>
    </row>
    <row r="6" spans="1:9" x14ac:dyDescent="0.3">
      <c r="A6" s="3">
        <v>3</v>
      </c>
      <c r="B6" s="3">
        <v>1</v>
      </c>
      <c r="C6" t="s">
        <v>67</v>
      </c>
      <c r="E6" s="3">
        <v>3</v>
      </c>
      <c r="F6" t="s">
        <v>69</v>
      </c>
      <c r="H6" s="3">
        <v>3</v>
      </c>
      <c r="I6" s="31" t="s">
        <v>24</v>
      </c>
    </row>
    <row r="7" spans="1:9" x14ac:dyDescent="0.3">
      <c r="A7" s="3">
        <v>4</v>
      </c>
      <c r="B7" s="3">
        <v>1</v>
      </c>
      <c r="C7" t="s">
        <v>68</v>
      </c>
      <c r="E7" s="3"/>
      <c r="H7" s="3">
        <v>4</v>
      </c>
      <c r="I7" s="31" t="s">
        <v>61</v>
      </c>
    </row>
    <row r="8" spans="1:9" x14ac:dyDescent="0.3">
      <c r="A8" s="3">
        <v>7</v>
      </c>
      <c r="B8" s="3">
        <v>2</v>
      </c>
      <c r="C8" t="s">
        <v>3</v>
      </c>
      <c r="E8" s="3"/>
      <c r="H8" s="3">
        <v>5</v>
      </c>
      <c r="I8" s="31" t="s">
        <v>25</v>
      </c>
    </row>
    <row r="9" spans="1:9" x14ac:dyDescent="0.3">
      <c r="A9" s="3">
        <v>9</v>
      </c>
      <c r="B9" s="3">
        <v>2</v>
      </c>
      <c r="C9" t="s">
        <v>4</v>
      </c>
      <c r="H9" s="3">
        <v>6</v>
      </c>
      <c r="I9" s="31" t="s">
        <v>62</v>
      </c>
    </row>
    <row r="10" spans="1:9" x14ac:dyDescent="0.3">
      <c r="A10" s="3">
        <v>10</v>
      </c>
      <c r="B10" s="3">
        <v>2</v>
      </c>
      <c r="C10" t="s">
        <v>5</v>
      </c>
      <c r="H10" s="3">
        <v>7</v>
      </c>
      <c r="I10" s="31" t="s">
        <v>26</v>
      </c>
    </row>
    <row r="11" spans="1:9" x14ac:dyDescent="0.3">
      <c r="A11" s="3">
        <v>11</v>
      </c>
      <c r="B11" s="3">
        <v>2</v>
      </c>
      <c r="C11" t="s">
        <v>6</v>
      </c>
      <c r="H11" s="3">
        <v>8</v>
      </c>
      <c r="I11" s="31" t="s">
        <v>27</v>
      </c>
    </row>
    <row r="12" spans="1:9" x14ac:dyDescent="0.3">
      <c r="A12" s="3">
        <v>12</v>
      </c>
      <c r="B12" s="3">
        <v>2</v>
      </c>
      <c r="C12" t="s">
        <v>7</v>
      </c>
      <c r="H12" s="3">
        <v>9</v>
      </c>
      <c r="I12" s="31" t="s">
        <v>28</v>
      </c>
    </row>
    <row r="13" spans="1:9" x14ac:dyDescent="0.3">
      <c r="A13" s="3">
        <v>13</v>
      </c>
      <c r="B13" s="3">
        <v>2</v>
      </c>
      <c r="C13" t="s">
        <v>8</v>
      </c>
      <c r="H13" s="3">
        <v>10</v>
      </c>
      <c r="I13" s="31" t="s">
        <v>29</v>
      </c>
    </row>
    <row r="14" spans="1:9" x14ac:dyDescent="0.3">
      <c r="A14" s="3">
        <v>15</v>
      </c>
      <c r="B14" s="3">
        <v>2</v>
      </c>
      <c r="C14" t="s">
        <v>9</v>
      </c>
      <c r="H14" s="3">
        <v>11</v>
      </c>
      <c r="I14" t="s">
        <v>70</v>
      </c>
    </row>
    <row r="15" spans="1:9" x14ac:dyDescent="0.3">
      <c r="A15" s="3">
        <v>16</v>
      </c>
      <c r="B15" s="3">
        <v>2</v>
      </c>
      <c r="C15" t="s">
        <v>10</v>
      </c>
      <c r="H15" s="3">
        <v>12</v>
      </c>
      <c r="I15" s="31" t="s">
        <v>30</v>
      </c>
    </row>
    <row r="16" spans="1:9" x14ac:dyDescent="0.3">
      <c r="A16" s="3">
        <v>17</v>
      </c>
      <c r="B16" s="3">
        <v>2</v>
      </c>
      <c r="C16" t="s">
        <v>11</v>
      </c>
      <c r="H16" s="3">
        <v>13</v>
      </c>
      <c r="I16" s="31" t="s">
        <v>63</v>
      </c>
    </row>
    <row r="17" spans="1:9" x14ac:dyDescent="0.3">
      <c r="A17" s="3">
        <v>18</v>
      </c>
      <c r="B17" s="3">
        <v>2</v>
      </c>
      <c r="C17" t="s">
        <v>12</v>
      </c>
      <c r="H17" s="3">
        <v>14</v>
      </c>
      <c r="I17" s="31" t="s">
        <v>31</v>
      </c>
    </row>
    <row r="18" spans="1:9" x14ac:dyDescent="0.3">
      <c r="A18" s="3">
        <v>19</v>
      </c>
      <c r="B18" s="3">
        <v>2</v>
      </c>
      <c r="C18" t="s">
        <v>13</v>
      </c>
      <c r="H18" s="3">
        <v>15</v>
      </c>
      <c r="I18" s="31" t="s">
        <v>32</v>
      </c>
    </row>
    <row r="19" spans="1:9" x14ac:dyDescent="0.3">
      <c r="A19" s="3">
        <v>20</v>
      </c>
      <c r="B19" s="3">
        <v>2</v>
      </c>
      <c r="C19" t="s">
        <v>14</v>
      </c>
      <c r="H19" s="3">
        <v>16</v>
      </c>
      <c r="I19" s="31" t="s">
        <v>33</v>
      </c>
    </row>
    <row r="20" spans="1:9" x14ac:dyDescent="0.3">
      <c r="A20" s="3">
        <v>22</v>
      </c>
      <c r="B20" s="3">
        <v>2</v>
      </c>
      <c r="C20" t="s">
        <v>42</v>
      </c>
      <c r="H20" s="3">
        <v>17</v>
      </c>
      <c r="I20" s="31" t="s">
        <v>72</v>
      </c>
    </row>
    <row r="21" spans="1:9" x14ac:dyDescent="0.3">
      <c r="A21" s="3"/>
      <c r="B21" s="3"/>
      <c r="H21" s="3">
        <v>18</v>
      </c>
      <c r="I21" s="31" t="s">
        <v>73</v>
      </c>
    </row>
    <row r="22" spans="1:9" x14ac:dyDescent="0.3">
      <c r="A22" s="3"/>
      <c r="B22" s="3"/>
      <c r="H22" s="3">
        <v>19</v>
      </c>
      <c r="I22" s="31" t="s">
        <v>64</v>
      </c>
    </row>
    <row r="23" spans="1:9" x14ac:dyDescent="0.3">
      <c r="A23" s="3"/>
      <c r="B23" s="3"/>
      <c r="H23" s="3">
        <v>20</v>
      </c>
      <c r="I23" s="31" t="s">
        <v>74</v>
      </c>
    </row>
    <row r="24" spans="1:9" x14ac:dyDescent="0.3">
      <c r="H24" s="3">
        <v>21</v>
      </c>
      <c r="I24" s="31" t="s">
        <v>34</v>
      </c>
    </row>
    <row r="25" spans="1:9" x14ac:dyDescent="0.3">
      <c r="H25" s="3">
        <v>22</v>
      </c>
      <c r="I25" s="31" t="s">
        <v>35</v>
      </c>
    </row>
    <row r="26" spans="1:9" x14ac:dyDescent="0.3">
      <c r="H26" s="3">
        <v>23</v>
      </c>
      <c r="I26" s="31" t="s">
        <v>65</v>
      </c>
    </row>
    <row r="27" spans="1:9" x14ac:dyDescent="0.3">
      <c r="H27" s="3">
        <v>24</v>
      </c>
      <c r="I27" s="31" t="s">
        <v>59</v>
      </c>
    </row>
    <row r="28" spans="1:9" x14ac:dyDescent="0.3">
      <c r="A28" s="32"/>
      <c r="B28" s="31"/>
      <c r="H28" s="3">
        <v>25</v>
      </c>
      <c r="I28" s="31" t="s">
        <v>60</v>
      </c>
    </row>
    <row r="29" spans="1:9" x14ac:dyDescent="0.3">
      <c r="A29" s="32"/>
      <c r="B29" s="31"/>
      <c r="H29" s="3"/>
    </row>
    <row r="30" spans="1:9" x14ac:dyDescent="0.3">
      <c r="A30" s="32"/>
      <c r="B30" s="31"/>
      <c r="H30" s="3"/>
    </row>
    <row r="31" spans="1:9" x14ac:dyDescent="0.3">
      <c r="A31" s="32"/>
      <c r="B31" s="31"/>
      <c r="H31" s="3"/>
    </row>
    <row r="32" spans="1:9" x14ac:dyDescent="0.3">
      <c r="A32" s="32"/>
      <c r="B32" s="31"/>
      <c r="H32" s="3"/>
      <c r="I32" s="31"/>
    </row>
    <row r="33" spans="1:9" x14ac:dyDescent="0.3">
      <c r="A33" s="32"/>
      <c r="B33" s="31"/>
      <c r="H33" s="3"/>
    </row>
    <row r="34" spans="1:9" x14ac:dyDescent="0.3">
      <c r="A34" s="32"/>
      <c r="B34" s="31"/>
      <c r="H34" s="3"/>
    </row>
    <row r="35" spans="1:9" x14ac:dyDescent="0.3">
      <c r="A35" s="32"/>
      <c r="B35" s="31"/>
      <c r="H35" s="3"/>
    </row>
    <row r="36" spans="1:9" x14ac:dyDescent="0.3">
      <c r="A36" s="32"/>
      <c r="B36" s="31"/>
      <c r="H36" s="3"/>
      <c r="I36" s="31"/>
    </row>
    <row r="37" spans="1:9" x14ac:dyDescent="0.3">
      <c r="A37" s="32"/>
      <c r="B37" s="31"/>
      <c r="H37" s="3"/>
      <c r="I37" s="31"/>
    </row>
    <row r="38" spans="1:9" x14ac:dyDescent="0.3">
      <c r="A38" s="32"/>
      <c r="B38" s="31"/>
      <c r="H38" s="3"/>
      <c r="I38" s="31"/>
    </row>
    <row r="39" spans="1:9" x14ac:dyDescent="0.3">
      <c r="A39" s="32"/>
      <c r="B39" s="31"/>
      <c r="H39" s="3"/>
      <c r="I39" s="31"/>
    </row>
    <row r="40" spans="1:9" x14ac:dyDescent="0.3">
      <c r="A40" s="32"/>
      <c r="B40" s="31"/>
      <c r="H40" s="3"/>
    </row>
    <row r="41" spans="1:9" x14ac:dyDescent="0.3">
      <c r="A41" s="32"/>
      <c r="B41" s="31"/>
      <c r="H41" s="3"/>
    </row>
    <row r="42" spans="1:9" x14ac:dyDescent="0.3">
      <c r="A42" s="32"/>
      <c r="B42" s="31"/>
      <c r="H42" s="3"/>
    </row>
    <row r="43" spans="1:9" x14ac:dyDescent="0.3">
      <c r="A43" s="32"/>
      <c r="B43" s="31"/>
      <c r="H43" s="3"/>
    </row>
    <row r="44" spans="1:9" x14ac:dyDescent="0.3">
      <c r="A44" s="32"/>
      <c r="B44" s="31"/>
      <c r="H44" s="3"/>
    </row>
    <row r="45" spans="1:9" x14ac:dyDescent="0.3">
      <c r="A45" s="32"/>
      <c r="B45" s="31"/>
      <c r="H45" s="3"/>
    </row>
    <row r="46" spans="1:9" x14ac:dyDescent="0.3">
      <c r="A46" s="32"/>
      <c r="B46" s="31"/>
      <c r="H46" s="3"/>
    </row>
    <row r="47" spans="1:9" x14ac:dyDescent="0.3">
      <c r="A47" s="32"/>
      <c r="B47" s="31"/>
      <c r="H47" s="3"/>
    </row>
  </sheetData>
  <mergeCells count="3">
    <mergeCell ref="A1:B1"/>
    <mergeCell ref="E1:F1"/>
    <mergeCell ref="H1:I1"/>
  </mergeCells>
  <conditionalFormatting sqref="D4:D47">
    <cfRule type="duplicateValues" dxfId="1" priority="5"/>
  </conditionalFormatting>
  <dataValidations disablePrompts="1" count="1">
    <dataValidation type="list" allowBlank="1" showInputMessage="1" showErrorMessage="1" sqref="I14" xr:uid="{C8F17F1D-0483-4474-BED3-72CC07CC2680}">
      <formula1>$I$4:$I$39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0925-5477-403F-AAF4-30E55FD3AD6B}">
  <dimension ref="A1:G300"/>
  <sheetViews>
    <sheetView zoomScaleNormal="100" workbookViewId="0">
      <pane ySplit="3" topLeftCell="A193" activePane="bottomLeft" state="frozen"/>
      <selection pane="bottomLeft" activeCell="D216" sqref="D216"/>
    </sheetView>
  </sheetViews>
  <sheetFormatPr defaultRowHeight="14.4" x14ac:dyDescent="0.3"/>
  <cols>
    <col min="1" max="1" width="6.88671875" customWidth="1"/>
    <col min="2" max="2" width="14.33203125" customWidth="1"/>
    <col min="3" max="3" width="18.88671875" customWidth="1"/>
    <col min="4" max="4" width="20.5546875" customWidth="1"/>
    <col min="5" max="5" width="14.109375" customWidth="1"/>
    <col min="6" max="6" width="13.109375" customWidth="1"/>
    <col min="7" max="7" width="0.88671875" customWidth="1"/>
    <col min="8" max="8" width="18.33203125" customWidth="1"/>
    <col min="10" max="10" width="8.88671875" customWidth="1"/>
    <col min="11" max="11" width="15.5546875" customWidth="1"/>
  </cols>
  <sheetData>
    <row r="1" spans="1:7" ht="18" x14ac:dyDescent="0.35">
      <c r="A1" s="30" t="s">
        <v>39</v>
      </c>
      <c r="B1" s="30"/>
      <c r="C1" s="30"/>
    </row>
    <row r="2" spans="1:7" ht="3" customHeight="1" x14ac:dyDescent="0.3"/>
    <row r="3" spans="1:7" x14ac:dyDescent="0.3">
      <c r="A3" s="1" t="s">
        <v>48</v>
      </c>
      <c r="B3" s="1" t="s">
        <v>20</v>
      </c>
      <c r="C3" s="1" t="s">
        <v>21</v>
      </c>
      <c r="D3" s="1" t="s">
        <v>43</v>
      </c>
      <c r="E3" s="1" t="s">
        <v>22</v>
      </c>
      <c r="F3" s="1" t="s">
        <v>23</v>
      </c>
      <c r="G3" s="1"/>
    </row>
    <row r="4" spans="1:7" x14ac:dyDescent="0.3">
      <c r="A4" s="35">
        <v>1</v>
      </c>
      <c r="B4" s="33">
        <v>46023</v>
      </c>
      <c r="C4" s="34" t="s">
        <v>42</v>
      </c>
      <c r="D4" t="s">
        <v>70</v>
      </c>
      <c r="E4" s="24" t="s">
        <v>18</v>
      </c>
      <c r="F4" s="39">
        <v>1900</v>
      </c>
    </row>
    <row r="5" spans="1:7" x14ac:dyDescent="0.3">
      <c r="A5" s="35">
        <v>2</v>
      </c>
      <c r="B5" s="33">
        <v>46023</v>
      </c>
      <c r="C5" s="34" t="s">
        <v>14</v>
      </c>
      <c r="D5" t="s">
        <v>70</v>
      </c>
      <c r="E5" s="24" t="s">
        <v>18</v>
      </c>
      <c r="F5" s="39">
        <v>155</v>
      </c>
    </row>
    <row r="6" spans="1:7" x14ac:dyDescent="0.3">
      <c r="A6" s="35">
        <v>3</v>
      </c>
      <c r="B6" s="33">
        <v>46024</v>
      </c>
      <c r="C6" s="34" t="s">
        <v>4</v>
      </c>
      <c r="D6" t="s">
        <v>34</v>
      </c>
      <c r="E6" s="24" t="s">
        <v>17</v>
      </c>
      <c r="F6" s="39">
        <v>140</v>
      </c>
    </row>
    <row r="7" spans="1:7" ht="14.4" customHeight="1" x14ac:dyDescent="0.3">
      <c r="A7" s="35">
        <v>4</v>
      </c>
      <c r="B7" s="33">
        <v>46025</v>
      </c>
      <c r="C7" s="34" t="s">
        <v>11</v>
      </c>
      <c r="D7" t="s">
        <v>29</v>
      </c>
      <c r="E7" s="24" t="s">
        <v>17</v>
      </c>
      <c r="F7" s="39">
        <v>22</v>
      </c>
    </row>
    <row r="8" spans="1:7" ht="14.4" customHeight="1" x14ac:dyDescent="0.3">
      <c r="A8" s="35">
        <v>5</v>
      </c>
      <c r="B8" s="33">
        <v>46025</v>
      </c>
      <c r="C8" s="34" t="s">
        <v>8</v>
      </c>
      <c r="D8" t="s">
        <v>60</v>
      </c>
      <c r="E8" s="24" t="s">
        <v>69</v>
      </c>
      <c r="F8" s="39">
        <v>148.19999999999999</v>
      </c>
    </row>
    <row r="9" spans="1:7" ht="14.4" customHeight="1" x14ac:dyDescent="0.3">
      <c r="A9" s="35">
        <v>6</v>
      </c>
      <c r="B9" s="33">
        <v>46026</v>
      </c>
      <c r="C9" s="34" t="s">
        <v>7</v>
      </c>
      <c r="D9" t="s">
        <v>64</v>
      </c>
      <c r="E9" s="24" t="s">
        <v>69</v>
      </c>
      <c r="F9" s="39">
        <v>65</v>
      </c>
    </row>
    <row r="10" spans="1:7" ht="14.4" customHeight="1" x14ac:dyDescent="0.3">
      <c r="A10" s="35">
        <v>7</v>
      </c>
      <c r="B10" s="33">
        <v>46028</v>
      </c>
      <c r="C10" s="34" t="s">
        <v>5</v>
      </c>
      <c r="D10" t="s">
        <v>61</v>
      </c>
      <c r="E10" s="24" t="s">
        <v>18</v>
      </c>
      <c r="F10" s="39">
        <v>120</v>
      </c>
    </row>
    <row r="11" spans="1:7" ht="14.4" customHeight="1" x14ac:dyDescent="0.3">
      <c r="A11" s="35">
        <v>8</v>
      </c>
      <c r="B11" s="33">
        <v>46029</v>
      </c>
      <c r="C11" s="34" t="s">
        <v>6</v>
      </c>
      <c r="D11" t="s">
        <v>32</v>
      </c>
      <c r="E11" s="24" t="s">
        <v>69</v>
      </c>
      <c r="F11" s="39">
        <v>90</v>
      </c>
    </row>
    <row r="12" spans="1:7" ht="14.4" customHeight="1" x14ac:dyDescent="0.3">
      <c r="A12" s="35">
        <v>9</v>
      </c>
      <c r="B12" s="33">
        <v>46030</v>
      </c>
      <c r="C12" s="34" t="s">
        <v>9</v>
      </c>
      <c r="D12" t="s">
        <v>27</v>
      </c>
      <c r="E12" s="24" t="s">
        <v>69</v>
      </c>
      <c r="F12" s="39">
        <v>28</v>
      </c>
    </row>
    <row r="13" spans="1:7" ht="14.4" customHeight="1" x14ac:dyDescent="0.3">
      <c r="A13" s="35">
        <v>10</v>
      </c>
      <c r="B13" s="33">
        <v>46031</v>
      </c>
      <c r="C13" s="34" t="s">
        <v>10</v>
      </c>
      <c r="D13" t="s">
        <v>65</v>
      </c>
      <c r="E13" s="24" t="s">
        <v>18</v>
      </c>
      <c r="F13" s="39">
        <v>35</v>
      </c>
    </row>
    <row r="14" spans="1:7" ht="14.4" customHeight="1" x14ac:dyDescent="0.3">
      <c r="A14" s="35">
        <v>11</v>
      </c>
      <c r="B14" s="33">
        <v>46032</v>
      </c>
      <c r="C14" s="34" t="s">
        <v>4</v>
      </c>
      <c r="D14" t="s">
        <v>24</v>
      </c>
      <c r="E14" s="24" t="s">
        <v>17</v>
      </c>
      <c r="F14" s="39">
        <v>115</v>
      </c>
    </row>
    <row r="15" spans="1:7" x14ac:dyDescent="0.3">
      <c r="A15" s="35">
        <v>12</v>
      </c>
      <c r="B15" s="33">
        <v>46034</v>
      </c>
      <c r="C15" s="34" t="s">
        <v>12</v>
      </c>
      <c r="D15" t="s">
        <v>41</v>
      </c>
      <c r="E15" s="24" t="s">
        <v>18</v>
      </c>
      <c r="F15" s="39">
        <v>300</v>
      </c>
    </row>
    <row r="16" spans="1:7" ht="14.4" customHeight="1" x14ac:dyDescent="0.3">
      <c r="A16" s="35">
        <v>13</v>
      </c>
      <c r="B16" s="33">
        <v>46035</v>
      </c>
      <c r="C16" s="34" t="s">
        <v>11</v>
      </c>
      <c r="D16" t="s">
        <v>29</v>
      </c>
      <c r="E16" s="24" t="s">
        <v>17</v>
      </c>
      <c r="F16" s="39">
        <v>25</v>
      </c>
    </row>
    <row r="17" spans="1:6" ht="14.4" customHeight="1" x14ac:dyDescent="0.3">
      <c r="A17" s="35">
        <v>14</v>
      </c>
      <c r="B17" s="33">
        <v>46036</v>
      </c>
      <c r="C17" s="34" t="s">
        <v>8</v>
      </c>
      <c r="D17" t="s">
        <v>26</v>
      </c>
      <c r="E17" s="24" t="s">
        <v>69</v>
      </c>
      <c r="F17" s="39">
        <v>26</v>
      </c>
    </row>
    <row r="18" spans="1:6" ht="14.4" customHeight="1" x14ac:dyDescent="0.3">
      <c r="A18" s="35">
        <v>15</v>
      </c>
      <c r="B18" s="33">
        <v>46037</v>
      </c>
      <c r="C18" s="34" t="s">
        <v>13</v>
      </c>
      <c r="D18" t="s">
        <v>74</v>
      </c>
      <c r="E18" s="24" t="s">
        <v>18</v>
      </c>
      <c r="F18" s="39">
        <v>250</v>
      </c>
    </row>
    <row r="19" spans="1:6" ht="14.4" customHeight="1" x14ac:dyDescent="0.3">
      <c r="A19" s="35">
        <v>16</v>
      </c>
      <c r="B19" s="33">
        <v>46038</v>
      </c>
      <c r="C19" s="34" t="s">
        <v>68</v>
      </c>
      <c r="D19" s="31" t="s">
        <v>72</v>
      </c>
      <c r="E19" s="24" t="s">
        <v>18</v>
      </c>
      <c r="F19" s="39">
        <v>480</v>
      </c>
    </row>
    <row r="20" spans="1:6" ht="14.4" customHeight="1" x14ac:dyDescent="0.3">
      <c r="A20" s="35">
        <v>17</v>
      </c>
      <c r="B20" s="33">
        <v>46039</v>
      </c>
      <c r="C20" s="34" t="s">
        <v>4</v>
      </c>
      <c r="D20" t="s">
        <v>59</v>
      </c>
      <c r="E20" s="24" t="s">
        <v>17</v>
      </c>
      <c r="F20" s="39">
        <v>130</v>
      </c>
    </row>
    <row r="21" spans="1:6" x14ac:dyDescent="0.3">
      <c r="A21" s="35">
        <v>18</v>
      </c>
      <c r="B21" s="33">
        <v>46040</v>
      </c>
      <c r="C21" s="34" t="s">
        <v>7</v>
      </c>
      <c r="D21" t="s">
        <v>63</v>
      </c>
      <c r="E21" s="24" t="s">
        <v>69</v>
      </c>
      <c r="F21" s="39">
        <v>70</v>
      </c>
    </row>
    <row r="22" spans="1:6" ht="14.4" customHeight="1" x14ac:dyDescent="0.3">
      <c r="A22" s="35">
        <v>19</v>
      </c>
      <c r="B22" s="33">
        <v>46042</v>
      </c>
      <c r="C22" s="34" t="s">
        <v>9</v>
      </c>
      <c r="D22" t="s">
        <v>27</v>
      </c>
      <c r="E22" s="24" t="s">
        <v>69</v>
      </c>
      <c r="F22" s="39">
        <v>32</v>
      </c>
    </row>
    <row r="23" spans="1:6" ht="14.4" customHeight="1" x14ac:dyDescent="0.3">
      <c r="A23" s="35">
        <v>20</v>
      </c>
      <c r="B23" s="33">
        <v>46048</v>
      </c>
      <c r="C23" s="34" t="s">
        <v>11</v>
      </c>
      <c r="D23" t="s">
        <v>29</v>
      </c>
      <c r="E23" s="24" t="s">
        <v>17</v>
      </c>
      <c r="F23" s="39">
        <v>30</v>
      </c>
    </row>
    <row r="24" spans="1:6" ht="14.4" customHeight="1" x14ac:dyDescent="0.3">
      <c r="A24" s="35">
        <v>21</v>
      </c>
      <c r="B24" s="33">
        <v>46050</v>
      </c>
      <c r="C24" s="34" t="s">
        <v>8</v>
      </c>
      <c r="D24" t="s">
        <v>28</v>
      </c>
      <c r="E24" s="24" t="s">
        <v>69</v>
      </c>
      <c r="F24" s="39">
        <v>22</v>
      </c>
    </row>
    <row r="25" spans="1:6" ht="14.4" customHeight="1" x14ac:dyDescent="0.3">
      <c r="A25" s="35">
        <v>22</v>
      </c>
      <c r="B25" s="33">
        <v>46052</v>
      </c>
      <c r="C25" s="34" t="s">
        <v>66</v>
      </c>
      <c r="D25" t="s">
        <v>73</v>
      </c>
      <c r="E25" s="24" t="s">
        <v>18</v>
      </c>
      <c r="F25" s="39">
        <v>3800</v>
      </c>
    </row>
    <row r="26" spans="1:6" ht="14.4" customHeight="1" x14ac:dyDescent="0.3">
      <c r="A26" s="35">
        <v>23</v>
      </c>
      <c r="B26" s="33">
        <v>46054</v>
      </c>
      <c r="C26" s="34" t="s">
        <v>42</v>
      </c>
      <c r="D26" t="s">
        <v>70</v>
      </c>
      <c r="E26" s="24" t="s">
        <v>18</v>
      </c>
      <c r="F26" s="39">
        <v>1900</v>
      </c>
    </row>
    <row r="27" spans="1:6" ht="14.4" customHeight="1" x14ac:dyDescent="0.3">
      <c r="A27" s="35">
        <v>24</v>
      </c>
      <c r="B27" s="33">
        <v>46054</v>
      </c>
      <c r="C27" s="34" t="s">
        <v>14</v>
      </c>
      <c r="D27" t="s">
        <v>70</v>
      </c>
      <c r="E27" s="24" t="s">
        <v>18</v>
      </c>
      <c r="F27" s="39">
        <v>160</v>
      </c>
    </row>
    <row r="28" spans="1:6" ht="14.4" customHeight="1" x14ac:dyDescent="0.3">
      <c r="A28" s="35">
        <v>25</v>
      </c>
      <c r="B28" s="33">
        <v>46055</v>
      </c>
      <c r="C28" s="34" t="s">
        <v>4</v>
      </c>
      <c r="D28" t="s">
        <v>59</v>
      </c>
      <c r="E28" s="24" t="s">
        <v>17</v>
      </c>
      <c r="F28" s="39">
        <v>150</v>
      </c>
    </row>
    <row r="29" spans="1:6" ht="14.4" customHeight="1" x14ac:dyDescent="0.3">
      <c r="A29" s="35">
        <v>26</v>
      </c>
      <c r="B29" s="33">
        <v>46056</v>
      </c>
      <c r="C29" s="34" t="s">
        <v>11</v>
      </c>
      <c r="D29" t="s">
        <v>29</v>
      </c>
      <c r="E29" s="24" t="s">
        <v>17</v>
      </c>
      <c r="F29" s="39">
        <v>24</v>
      </c>
    </row>
    <row r="30" spans="1:6" x14ac:dyDescent="0.3">
      <c r="A30" s="35">
        <v>27</v>
      </c>
      <c r="B30" s="33">
        <v>46056</v>
      </c>
      <c r="C30" s="34" t="s">
        <v>8</v>
      </c>
      <c r="D30" t="s">
        <v>26</v>
      </c>
      <c r="E30" s="24" t="s">
        <v>69</v>
      </c>
      <c r="F30" s="39">
        <v>20</v>
      </c>
    </row>
    <row r="31" spans="1:6" x14ac:dyDescent="0.3">
      <c r="A31" s="35">
        <v>28</v>
      </c>
      <c r="B31" s="44">
        <v>46028</v>
      </c>
      <c r="C31" s="45" t="s">
        <v>3</v>
      </c>
      <c r="D31" s="29"/>
      <c r="E31" s="28" t="s">
        <v>18</v>
      </c>
      <c r="F31" s="46">
        <v>500</v>
      </c>
    </row>
    <row r="32" spans="1:6" x14ac:dyDescent="0.3">
      <c r="A32" s="35">
        <v>29</v>
      </c>
      <c r="B32" s="44">
        <v>46028</v>
      </c>
      <c r="C32" s="45" t="s">
        <v>2</v>
      </c>
      <c r="D32" s="29"/>
      <c r="E32" s="28" t="s">
        <v>17</v>
      </c>
      <c r="F32" s="46">
        <v>500</v>
      </c>
    </row>
    <row r="33" spans="1:6" ht="14.4" customHeight="1" x14ac:dyDescent="0.3">
      <c r="A33" s="35">
        <v>30</v>
      </c>
      <c r="B33" s="33">
        <v>46057</v>
      </c>
      <c r="C33" s="34" t="s">
        <v>7</v>
      </c>
      <c r="D33" t="s">
        <v>64</v>
      </c>
      <c r="E33" s="24" t="s">
        <v>69</v>
      </c>
      <c r="F33" s="39">
        <v>68</v>
      </c>
    </row>
    <row r="34" spans="1:6" ht="14.4" customHeight="1" x14ac:dyDescent="0.3">
      <c r="A34" s="35">
        <v>31</v>
      </c>
      <c r="B34" s="33">
        <v>46047</v>
      </c>
      <c r="C34" s="34" t="s">
        <v>5</v>
      </c>
      <c r="D34" t="s">
        <v>62</v>
      </c>
      <c r="E34" s="24" t="s">
        <v>18</v>
      </c>
      <c r="F34" s="41">
        <v>15.99</v>
      </c>
    </row>
    <row r="35" spans="1:6" ht="14.4" customHeight="1" x14ac:dyDescent="0.3">
      <c r="A35" s="35">
        <v>32</v>
      </c>
      <c r="B35" s="33">
        <v>46059</v>
      </c>
      <c r="C35" s="34" t="s">
        <v>5</v>
      </c>
      <c r="D35" t="s">
        <v>61</v>
      </c>
      <c r="E35" s="24" t="s">
        <v>18</v>
      </c>
      <c r="F35" s="39">
        <v>120</v>
      </c>
    </row>
    <row r="36" spans="1:6" ht="14.4" customHeight="1" x14ac:dyDescent="0.3">
      <c r="A36" s="35">
        <v>33</v>
      </c>
      <c r="B36" s="33">
        <v>46060</v>
      </c>
      <c r="C36" s="34" t="s">
        <v>6</v>
      </c>
      <c r="D36" t="s">
        <v>25</v>
      </c>
      <c r="E36" s="24" t="s">
        <v>69</v>
      </c>
      <c r="F36" s="39">
        <v>70</v>
      </c>
    </row>
    <row r="37" spans="1:6" ht="14.4" customHeight="1" x14ac:dyDescent="0.3">
      <c r="A37" s="35">
        <v>34</v>
      </c>
      <c r="B37" s="33">
        <v>46061</v>
      </c>
      <c r="C37" s="34" t="s">
        <v>9</v>
      </c>
      <c r="D37" t="s">
        <v>27</v>
      </c>
      <c r="E37" s="24" t="s">
        <v>69</v>
      </c>
      <c r="F37" s="39">
        <v>30</v>
      </c>
    </row>
    <row r="38" spans="1:6" ht="14.4" customHeight="1" x14ac:dyDescent="0.3">
      <c r="A38" s="35">
        <v>35</v>
      </c>
      <c r="B38" s="33">
        <v>46062</v>
      </c>
      <c r="C38" s="34" t="s">
        <v>10</v>
      </c>
      <c r="D38" t="s">
        <v>65</v>
      </c>
      <c r="E38" s="24" t="s">
        <v>18</v>
      </c>
      <c r="F38" s="39">
        <v>100</v>
      </c>
    </row>
    <row r="39" spans="1:6" ht="14.4" customHeight="1" x14ac:dyDescent="0.3">
      <c r="A39" s="35">
        <v>36</v>
      </c>
      <c r="B39" s="33">
        <v>46063</v>
      </c>
      <c r="C39" s="34" t="s">
        <v>4</v>
      </c>
      <c r="D39" t="s">
        <v>24</v>
      </c>
      <c r="E39" s="24" t="s">
        <v>17</v>
      </c>
      <c r="F39" s="39">
        <v>135</v>
      </c>
    </row>
    <row r="40" spans="1:6" ht="14.4" customHeight="1" x14ac:dyDescent="0.3">
      <c r="A40" s="35">
        <v>37</v>
      </c>
      <c r="B40" s="33">
        <v>46065</v>
      </c>
      <c r="C40" s="34" t="s">
        <v>12</v>
      </c>
      <c r="D40" t="s">
        <v>71</v>
      </c>
      <c r="E40" s="24" t="s">
        <v>18</v>
      </c>
      <c r="F40" s="39">
        <v>30</v>
      </c>
    </row>
    <row r="41" spans="1:6" ht="14.4" customHeight="1" x14ac:dyDescent="0.3">
      <c r="A41" s="35">
        <v>38</v>
      </c>
      <c r="B41" s="33">
        <v>46066</v>
      </c>
      <c r="C41" s="34" t="s">
        <v>11</v>
      </c>
      <c r="D41" t="s">
        <v>29</v>
      </c>
      <c r="E41" s="24" t="s">
        <v>17</v>
      </c>
      <c r="F41" s="39">
        <v>28</v>
      </c>
    </row>
    <row r="42" spans="1:6" x14ac:dyDescent="0.3">
      <c r="A42" s="35">
        <v>39</v>
      </c>
      <c r="B42" s="33">
        <v>46067</v>
      </c>
      <c r="C42" s="34" t="s">
        <v>8</v>
      </c>
      <c r="D42" t="s">
        <v>30</v>
      </c>
      <c r="E42" s="24" t="s">
        <v>69</v>
      </c>
      <c r="F42" s="39">
        <v>27</v>
      </c>
    </row>
    <row r="43" spans="1:6" ht="14.4" customHeight="1" x14ac:dyDescent="0.3">
      <c r="A43" s="35">
        <v>40</v>
      </c>
      <c r="B43" s="33">
        <v>46068</v>
      </c>
      <c r="C43" s="34" t="s">
        <v>13</v>
      </c>
      <c r="D43" t="s">
        <v>74</v>
      </c>
      <c r="E43" s="24" t="s">
        <v>18</v>
      </c>
      <c r="F43" s="39">
        <v>250</v>
      </c>
    </row>
    <row r="44" spans="1:6" ht="14.4" customHeight="1" x14ac:dyDescent="0.3">
      <c r="A44" s="35">
        <v>41</v>
      </c>
      <c r="B44" s="33">
        <v>46069</v>
      </c>
      <c r="C44" s="34" t="s">
        <v>68</v>
      </c>
      <c r="D44" s="31" t="s">
        <v>72</v>
      </c>
      <c r="E44" s="24" t="s">
        <v>18</v>
      </c>
      <c r="F44" s="39">
        <v>650</v>
      </c>
    </row>
    <row r="45" spans="1:6" ht="14.4" customHeight="1" x14ac:dyDescent="0.3">
      <c r="A45" s="35">
        <v>42</v>
      </c>
      <c r="B45" s="33">
        <v>46070</v>
      </c>
      <c r="C45" s="34" t="s">
        <v>4</v>
      </c>
      <c r="D45" t="s">
        <v>24</v>
      </c>
      <c r="E45" s="24" t="s">
        <v>17</v>
      </c>
      <c r="F45" s="39">
        <v>120</v>
      </c>
    </row>
    <row r="46" spans="1:6" ht="14.4" customHeight="1" x14ac:dyDescent="0.3">
      <c r="A46" s="35">
        <v>43</v>
      </c>
      <c r="B46" s="33">
        <v>46071</v>
      </c>
      <c r="C46" s="34" t="s">
        <v>7</v>
      </c>
      <c r="D46" t="s">
        <v>64</v>
      </c>
      <c r="E46" s="24" t="s">
        <v>69</v>
      </c>
      <c r="F46" s="39">
        <v>72</v>
      </c>
    </row>
    <row r="47" spans="1:6" ht="14.4" customHeight="1" x14ac:dyDescent="0.3">
      <c r="A47" s="35">
        <v>44</v>
      </c>
      <c r="B47" s="33">
        <v>46073</v>
      </c>
      <c r="C47" s="34" t="s">
        <v>9</v>
      </c>
      <c r="D47" t="s">
        <v>27</v>
      </c>
      <c r="E47" s="24" t="s">
        <v>69</v>
      </c>
      <c r="F47" s="39">
        <v>33</v>
      </c>
    </row>
    <row r="48" spans="1:6" x14ac:dyDescent="0.3">
      <c r="A48" s="35">
        <v>45</v>
      </c>
      <c r="B48" s="33">
        <v>46077</v>
      </c>
      <c r="C48" s="34" t="s">
        <v>11</v>
      </c>
      <c r="D48" t="s">
        <v>29</v>
      </c>
      <c r="E48" s="24" t="s">
        <v>17</v>
      </c>
      <c r="F48" s="39">
        <v>26</v>
      </c>
    </row>
    <row r="49" spans="1:6" ht="14.4" customHeight="1" x14ac:dyDescent="0.3">
      <c r="A49" s="35">
        <v>46</v>
      </c>
      <c r="B49" s="33">
        <v>46079</v>
      </c>
      <c r="C49" s="34" t="s">
        <v>8</v>
      </c>
      <c r="D49" t="s">
        <v>30</v>
      </c>
      <c r="E49" s="24" t="s">
        <v>69</v>
      </c>
      <c r="F49" s="39">
        <v>25</v>
      </c>
    </row>
    <row r="50" spans="1:6" ht="14.4" customHeight="1" x14ac:dyDescent="0.3">
      <c r="A50" s="35">
        <v>47</v>
      </c>
      <c r="B50" s="33">
        <v>46080</v>
      </c>
      <c r="C50" s="34" t="s">
        <v>66</v>
      </c>
      <c r="D50" t="s">
        <v>73</v>
      </c>
      <c r="E50" s="24" t="s">
        <v>18</v>
      </c>
      <c r="F50" s="39">
        <v>3600</v>
      </c>
    </row>
    <row r="51" spans="1:6" ht="14.4" customHeight="1" x14ac:dyDescent="0.3">
      <c r="A51" s="35">
        <v>48</v>
      </c>
      <c r="B51" s="33">
        <v>46082</v>
      </c>
      <c r="C51" s="34" t="s">
        <v>42</v>
      </c>
      <c r="D51" t="s">
        <v>70</v>
      </c>
      <c r="E51" s="24" t="s">
        <v>18</v>
      </c>
      <c r="F51" s="39">
        <v>1900</v>
      </c>
    </row>
    <row r="52" spans="1:6" ht="14.4" customHeight="1" x14ac:dyDescent="0.3">
      <c r="A52" s="35">
        <v>49</v>
      </c>
      <c r="B52" s="33">
        <v>46082</v>
      </c>
      <c r="C52" s="34" t="s">
        <v>14</v>
      </c>
      <c r="D52" t="s">
        <v>70</v>
      </c>
      <c r="E52" s="24" t="s">
        <v>18</v>
      </c>
      <c r="F52" s="39">
        <v>165</v>
      </c>
    </row>
    <row r="53" spans="1:6" ht="14.4" customHeight="1" x14ac:dyDescent="0.3">
      <c r="A53" s="35">
        <v>50</v>
      </c>
      <c r="B53" s="33">
        <v>46083</v>
      </c>
      <c r="C53" s="34" t="s">
        <v>4</v>
      </c>
      <c r="D53" t="s">
        <v>59</v>
      </c>
      <c r="E53" s="24" t="s">
        <v>17</v>
      </c>
      <c r="F53" s="39">
        <v>145</v>
      </c>
    </row>
    <row r="54" spans="1:6" ht="14.4" customHeight="1" x14ac:dyDescent="0.3">
      <c r="A54" s="35">
        <v>51</v>
      </c>
      <c r="B54" s="33">
        <v>46084</v>
      </c>
      <c r="C54" s="34" t="s">
        <v>11</v>
      </c>
      <c r="D54" t="s">
        <v>29</v>
      </c>
      <c r="E54" s="24" t="s">
        <v>17</v>
      </c>
      <c r="F54" s="39">
        <v>23</v>
      </c>
    </row>
    <row r="55" spans="1:6" ht="14.4" customHeight="1" x14ac:dyDescent="0.3">
      <c r="A55" s="35">
        <v>52</v>
      </c>
      <c r="B55" s="33">
        <v>46084</v>
      </c>
      <c r="C55" s="34" t="s">
        <v>8</v>
      </c>
      <c r="D55" t="s">
        <v>30</v>
      </c>
      <c r="E55" s="24" t="s">
        <v>69</v>
      </c>
      <c r="F55" s="39">
        <v>21</v>
      </c>
    </row>
    <row r="56" spans="1:6" ht="14.4" customHeight="1" x14ac:dyDescent="0.3">
      <c r="A56" s="35">
        <v>53</v>
      </c>
      <c r="B56" s="33">
        <v>46085</v>
      </c>
      <c r="C56" s="34" t="s">
        <v>7</v>
      </c>
      <c r="D56" t="s">
        <v>64</v>
      </c>
      <c r="E56" s="24" t="s">
        <v>69</v>
      </c>
      <c r="F56" s="39">
        <v>70</v>
      </c>
    </row>
    <row r="57" spans="1:6" x14ac:dyDescent="0.3">
      <c r="A57" s="35">
        <v>54</v>
      </c>
      <c r="B57" s="33">
        <v>46078</v>
      </c>
      <c r="C57" s="34" t="s">
        <v>5</v>
      </c>
      <c r="D57" t="s">
        <v>62</v>
      </c>
      <c r="E57" s="24" t="s">
        <v>18</v>
      </c>
      <c r="F57" s="41">
        <v>15.99</v>
      </c>
    </row>
    <row r="58" spans="1:6" s="29" customFormat="1" x14ac:dyDescent="0.3">
      <c r="A58" s="35">
        <v>55</v>
      </c>
      <c r="B58" s="44">
        <v>46057</v>
      </c>
      <c r="C58" s="45" t="s">
        <v>3</v>
      </c>
      <c r="E58" s="28" t="s">
        <v>18</v>
      </c>
      <c r="F58" s="47">
        <v>1000</v>
      </c>
    </row>
    <row r="59" spans="1:6" s="29" customFormat="1" x14ac:dyDescent="0.3">
      <c r="A59" s="35">
        <v>56</v>
      </c>
      <c r="B59" s="44">
        <v>46057</v>
      </c>
      <c r="C59" s="45" t="s">
        <v>2</v>
      </c>
      <c r="E59" s="28" t="s">
        <v>17</v>
      </c>
      <c r="F59" s="47">
        <v>1000</v>
      </c>
    </row>
    <row r="60" spans="1:6" s="29" customFormat="1" x14ac:dyDescent="0.3">
      <c r="A60" s="35">
        <v>57</v>
      </c>
      <c r="B60" s="44">
        <v>46057</v>
      </c>
      <c r="C60" s="45" t="s">
        <v>3</v>
      </c>
      <c r="E60" s="28" t="s">
        <v>18</v>
      </c>
      <c r="F60" s="47">
        <v>1200</v>
      </c>
    </row>
    <row r="61" spans="1:6" s="29" customFormat="1" x14ac:dyDescent="0.3">
      <c r="A61" s="35">
        <v>58</v>
      </c>
      <c r="B61" s="44">
        <v>46057</v>
      </c>
      <c r="C61" s="45" t="s">
        <v>2</v>
      </c>
      <c r="E61" s="28" t="s">
        <v>69</v>
      </c>
      <c r="F61" s="47">
        <v>1200</v>
      </c>
    </row>
    <row r="62" spans="1:6" ht="14.4" customHeight="1" x14ac:dyDescent="0.3">
      <c r="A62" s="35">
        <v>59</v>
      </c>
      <c r="B62" s="33">
        <v>46087</v>
      </c>
      <c r="C62" s="34" t="s">
        <v>5</v>
      </c>
      <c r="D62" t="s">
        <v>61</v>
      </c>
      <c r="E62" s="24" t="s">
        <v>18</v>
      </c>
      <c r="F62" s="39">
        <v>120</v>
      </c>
    </row>
    <row r="63" spans="1:6" ht="14.4" customHeight="1" x14ac:dyDescent="0.3">
      <c r="A63" s="35">
        <v>60</v>
      </c>
      <c r="B63" s="33">
        <v>46088</v>
      </c>
      <c r="C63" s="34" t="s">
        <v>6</v>
      </c>
      <c r="D63" t="s">
        <v>35</v>
      </c>
      <c r="E63" s="24" t="s">
        <v>69</v>
      </c>
      <c r="F63" s="39">
        <v>110</v>
      </c>
    </row>
    <row r="64" spans="1:6" x14ac:dyDescent="0.3">
      <c r="A64" s="35">
        <v>61</v>
      </c>
      <c r="B64" s="33">
        <v>46089</v>
      </c>
      <c r="C64" s="34" t="s">
        <v>9</v>
      </c>
      <c r="D64" t="s">
        <v>27</v>
      </c>
      <c r="E64" s="24" t="s">
        <v>69</v>
      </c>
      <c r="F64" s="39">
        <v>29</v>
      </c>
    </row>
    <row r="65" spans="1:6" x14ac:dyDescent="0.3">
      <c r="A65" s="35">
        <v>62</v>
      </c>
      <c r="B65" s="33">
        <v>46090</v>
      </c>
      <c r="C65" s="34" t="s">
        <v>10</v>
      </c>
      <c r="D65" t="s">
        <v>65</v>
      </c>
      <c r="E65" s="24" t="s">
        <v>18</v>
      </c>
      <c r="F65" s="39">
        <v>38</v>
      </c>
    </row>
    <row r="66" spans="1:6" x14ac:dyDescent="0.3">
      <c r="A66" s="35">
        <v>63</v>
      </c>
      <c r="B66" s="33">
        <v>46091</v>
      </c>
      <c r="C66" s="34" t="s">
        <v>4</v>
      </c>
      <c r="D66" t="s">
        <v>34</v>
      </c>
      <c r="E66" s="24" t="s">
        <v>17</v>
      </c>
      <c r="F66" s="39">
        <v>125</v>
      </c>
    </row>
    <row r="67" spans="1:6" x14ac:dyDescent="0.3">
      <c r="A67" s="35">
        <v>64</v>
      </c>
      <c r="B67" s="33">
        <v>46093</v>
      </c>
      <c r="C67" s="34" t="s">
        <v>12</v>
      </c>
      <c r="D67" t="s">
        <v>71</v>
      </c>
      <c r="E67" s="24" t="s">
        <v>18</v>
      </c>
      <c r="F67" s="39">
        <v>30</v>
      </c>
    </row>
    <row r="68" spans="1:6" x14ac:dyDescent="0.3">
      <c r="A68" s="35">
        <v>65</v>
      </c>
      <c r="B68" s="33">
        <v>46094</v>
      </c>
      <c r="C68" s="34" t="s">
        <v>11</v>
      </c>
      <c r="D68" t="s">
        <v>29</v>
      </c>
      <c r="E68" s="24" t="s">
        <v>17</v>
      </c>
      <c r="F68" s="39">
        <v>27</v>
      </c>
    </row>
    <row r="69" spans="1:6" x14ac:dyDescent="0.3">
      <c r="A69" s="35">
        <v>66</v>
      </c>
      <c r="B69" s="33">
        <v>46095</v>
      </c>
      <c r="C69" s="34" t="s">
        <v>8</v>
      </c>
      <c r="D69" t="s">
        <v>31</v>
      </c>
      <c r="E69" s="24" t="s">
        <v>69</v>
      </c>
      <c r="F69" s="39">
        <v>24</v>
      </c>
    </row>
    <row r="70" spans="1:6" x14ac:dyDescent="0.3">
      <c r="A70" s="35">
        <v>67</v>
      </c>
      <c r="B70" s="33">
        <v>46096</v>
      </c>
      <c r="C70" s="34" t="s">
        <v>13</v>
      </c>
      <c r="D70" t="s">
        <v>74</v>
      </c>
      <c r="E70" s="24" t="s">
        <v>18</v>
      </c>
      <c r="F70" s="39">
        <v>250</v>
      </c>
    </row>
    <row r="71" spans="1:6" x14ac:dyDescent="0.3">
      <c r="A71" s="35">
        <v>68</v>
      </c>
      <c r="B71" s="33">
        <v>46097</v>
      </c>
      <c r="C71" s="34" t="s">
        <v>68</v>
      </c>
      <c r="D71" s="31" t="s">
        <v>72</v>
      </c>
      <c r="E71" s="24" t="s">
        <v>18</v>
      </c>
      <c r="F71" s="39">
        <v>520</v>
      </c>
    </row>
    <row r="72" spans="1:6" x14ac:dyDescent="0.3">
      <c r="A72" s="35">
        <v>69</v>
      </c>
      <c r="B72" s="33">
        <v>46098</v>
      </c>
      <c r="C72" s="34" t="s">
        <v>4</v>
      </c>
      <c r="D72" t="s">
        <v>59</v>
      </c>
      <c r="E72" s="24" t="s">
        <v>17</v>
      </c>
      <c r="F72" s="39">
        <v>135</v>
      </c>
    </row>
    <row r="73" spans="1:6" x14ac:dyDescent="0.3">
      <c r="A73" s="35">
        <v>70</v>
      </c>
      <c r="B73" s="33">
        <v>46099</v>
      </c>
      <c r="C73" s="34" t="s">
        <v>7</v>
      </c>
      <c r="D73" t="s">
        <v>64</v>
      </c>
      <c r="E73" s="24" t="s">
        <v>69</v>
      </c>
      <c r="F73" s="39">
        <v>75</v>
      </c>
    </row>
    <row r="74" spans="1:6" x14ac:dyDescent="0.3">
      <c r="A74" s="35">
        <v>71</v>
      </c>
      <c r="B74" s="33">
        <v>46100</v>
      </c>
      <c r="C74" s="34" t="s">
        <v>9</v>
      </c>
      <c r="D74" t="s">
        <v>27</v>
      </c>
      <c r="E74" s="24" t="s">
        <v>69</v>
      </c>
      <c r="F74" s="39">
        <v>34</v>
      </c>
    </row>
    <row r="75" spans="1:6" x14ac:dyDescent="0.3">
      <c r="A75" s="35">
        <v>72</v>
      </c>
      <c r="B75" s="33">
        <v>46103</v>
      </c>
      <c r="C75" s="34" t="s">
        <v>11</v>
      </c>
      <c r="D75" t="s">
        <v>29</v>
      </c>
      <c r="E75" s="24" t="s">
        <v>17</v>
      </c>
      <c r="F75" s="39">
        <v>29</v>
      </c>
    </row>
    <row r="76" spans="1:6" x14ac:dyDescent="0.3">
      <c r="A76" s="35">
        <v>73</v>
      </c>
      <c r="B76" s="33">
        <v>46105</v>
      </c>
      <c r="C76" s="34" t="s">
        <v>8</v>
      </c>
      <c r="D76" t="s">
        <v>31</v>
      </c>
      <c r="E76" s="24" t="s">
        <v>69</v>
      </c>
      <c r="F76" s="39">
        <v>26</v>
      </c>
    </row>
    <row r="77" spans="1:6" x14ac:dyDescent="0.3">
      <c r="A77" s="35">
        <v>74</v>
      </c>
      <c r="B77" s="33">
        <v>46107</v>
      </c>
      <c r="C77" s="34" t="s">
        <v>10</v>
      </c>
      <c r="D77" t="s">
        <v>65</v>
      </c>
      <c r="E77" s="24" t="s">
        <v>18</v>
      </c>
      <c r="F77" s="39">
        <v>22</v>
      </c>
    </row>
    <row r="78" spans="1:6" x14ac:dyDescent="0.3">
      <c r="A78" s="35">
        <v>75</v>
      </c>
      <c r="B78" s="33">
        <v>46109</v>
      </c>
      <c r="C78" s="34" t="s">
        <v>4</v>
      </c>
      <c r="D78" t="s">
        <v>59</v>
      </c>
      <c r="E78" s="24" t="s">
        <v>17</v>
      </c>
      <c r="F78" s="39">
        <v>118</v>
      </c>
    </row>
    <row r="79" spans="1:6" x14ac:dyDescent="0.3">
      <c r="A79" s="35">
        <v>76</v>
      </c>
      <c r="B79" s="33">
        <v>46111</v>
      </c>
      <c r="C79" s="34" t="s">
        <v>66</v>
      </c>
      <c r="D79" t="s">
        <v>73</v>
      </c>
      <c r="E79" s="24" t="s">
        <v>18</v>
      </c>
      <c r="F79" s="39">
        <v>4100</v>
      </c>
    </row>
    <row r="80" spans="1:6" x14ac:dyDescent="0.3">
      <c r="A80" s="35">
        <v>77</v>
      </c>
      <c r="B80" s="33">
        <v>46113</v>
      </c>
      <c r="C80" s="34" t="s">
        <v>42</v>
      </c>
      <c r="D80" t="s">
        <v>70</v>
      </c>
      <c r="E80" s="24" t="s">
        <v>18</v>
      </c>
      <c r="F80" s="39">
        <v>1900</v>
      </c>
    </row>
    <row r="81" spans="1:6" x14ac:dyDescent="0.3">
      <c r="A81" s="35">
        <v>78</v>
      </c>
      <c r="B81" s="33">
        <v>46113</v>
      </c>
      <c r="C81" s="34" t="s">
        <v>14</v>
      </c>
      <c r="D81" t="s">
        <v>70</v>
      </c>
      <c r="E81" s="24" t="s">
        <v>18</v>
      </c>
      <c r="F81" s="39">
        <v>165</v>
      </c>
    </row>
    <row r="82" spans="1:6" x14ac:dyDescent="0.3">
      <c r="A82" s="35">
        <v>79</v>
      </c>
      <c r="B82" s="33">
        <v>46114</v>
      </c>
      <c r="C82" s="34" t="s">
        <v>4</v>
      </c>
      <c r="D82" t="s">
        <v>24</v>
      </c>
      <c r="E82" s="24" t="s">
        <v>17</v>
      </c>
      <c r="F82" s="39">
        <v>150</v>
      </c>
    </row>
    <row r="83" spans="1:6" x14ac:dyDescent="0.3">
      <c r="A83" s="35">
        <v>80</v>
      </c>
      <c r="B83" s="33">
        <v>46115</v>
      </c>
      <c r="C83" s="34" t="s">
        <v>11</v>
      </c>
      <c r="D83" t="s">
        <v>29</v>
      </c>
      <c r="E83" s="24" t="s">
        <v>17</v>
      </c>
      <c r="F83" s="39">
        <v>24</v>
      </c>
    </row>
    <row r="84" spans="1:6" x14ac:dyDescent="0.3">
      <c r="A84" s="35">
        <v>81</v>
      </c>
      <c r="B84" s="33">
        <v>46115</v>
      </c>
      <c r="C84" s="34" t="s">
        <v>8</v>
      </c>
      <c r="D84" t="s">
        <v>30</v>
      </c>
      <c r="E84" s="24" t="s">
        <v>69</v>
      </c>
      <c r="F84" s="39">
        <v>19</v>
      </c>
    </row>
    <row r="85" spans="1:6" x14ac:dyDescent="0.3">
      <c r="A85" s="35">
        <v>82</v>
      </c>
      <c r="B85" s="33">
        <v>46116</v>
      </c>
      <c r="C85" s="34" t="s">
        <v>7</v>
      </c>
      <c r="D85" t="s">
        <v>64</v>
      </c>
      <c r="E85" s="24" t="s">
        <v>69</v>
      </c>
      <c r="F85" s="39">
        <v>72</v>
      </c>
    </row>
    <row r="86" spans="1:6" x14ac:dyDescent="0.3">
      <c r="A86" s="35">
        <v>83</v>
      </c>
      <c r="B86" s="33">
        <v>46106</v>
      </c>
      <c r="C86" s="34" t="s">
        <v>5</v>
      </c>
      <c r="D86" t="s">
        <v>62</v>
      </c>
      <c r="E86" s="24" t="s">
        <v>18</v>
      </c>
      <c r="F86" s="41">
        <v>15.99</v>
      </c>
    </row>
    <row r="87" spans="1:6" x14ac:dyDescent="0.3">
      <c r="A87" s="35">
        <v>84</v>
      </c>
      <c r="B87" s="33">
        <v>46118</v>
      </c>
      <c r="C87" s="34" t="s">
        <v>5</v>
      </c>
      <c r="D87" t="s">
        <v>61</v>
      </c>
      <c r="E87" s="24" t="s">
        <v>18</v>
      </c>
      <c r="F87" s="39">
        <v>120</v>
      </c>
    </row>
    <row r="88" spans="1:6" x14ac:dyDescent="0.3">
      <c r="A88" s="35">
        <v>85</v>
      </c>
      <c r="B88" s="33">
        <v>46119</v>
      </c>
      <c r="C88" s="34" t="s">
        <v>6</v>
      </c>
      <c r="D88" t="s">
        <v>25</v>
      </c>
      <c r="E88" s="24" t="s">
        <v>69</v>
      </c>
      <c r="F88" s="39">
        <v>85</v>
      </c>
    </row>
    <row r="89" spans="1:6" x14ac:dyDescent="0.3">
      <c r="A89" s="35">
        <v>86</v>
      </c>
      <c r="B89" s="33">
        <v>46120</v>
      </c>
      <c r="C89" s="34" t="s">
        <v>9</v>
      </c>
      <c r="D89" t="s">
        <v>27</v>
      </c>
      <c r="E89" s="24" t="s">
        <v>69</v>
      </c>
      <c r="F89" s="39">
        <v>31</v>
      </c>
    </row>
    <row r="90" spans="1:6" x14ac:dyDescent="0.3">
      <c r="A90" s="35">
        <v>87</v>
      </c>
      <c r="B90" s="33">
        <v>46122</v>
      </c>
      <c r="C90" s="34" t="s">
        <v>4</v>
      </c>
      <c r="D90" t="s">
        <v>24</v>
      </c>
      <c r="E90" s="24" t="s">
        <v>17</v>
      </c>
      <c r="F90" s="39">
        <v>135</v>
      </c>
    </row>
    <row r="91" spans="1:6" x14ac:dyDescent="0.3">
      <c r="A91" s="35">
        <v>88</v>
      </c>
      <c r="B91" s="33">
        <v>46125</v>
      </c>
      <c r="C91" s="34" t="s">
        <v>11</v>
      </c>
      <c r="D91" t="s">
        <v>29</v>
      </c>
      <c r="E91" s="24" t="s">
        <v>17</v>
      </c>
      <c r="F91" s="39">
        <v>27</v>
      </c>
    </row>
    <row r="92" spans="1:6" x14ac:dyDescent="0.3">
      <c r="A92" s="35">
        <v>89</v>
      </c>
      <c r="B92" s="33">
        <v>46126</v>
      </c>
      <c r="C92" s="34" t="s">
        <v>8</v>
      </c>
      <c r="D92" t="s">
        <v>33</v>
      </c>
      <c r="E92" s="24" t="s">
        <v>69</v>
      </c>
      <c r="F92" s="39">
        <v>6.5</v>
      </c>
    </row>
    <row r="93" spans="1:6" x14ac:dyDescent="0.3">
      <c r="A93" s="35">
        <v>90</v>
      </c>
      <c r="B93" s="33">
        <v>46127</v>
      </c>
      <c r="C93" s="34" t="s">
        <v>13</v>
      </c>
      <c r="D93" t="s">
        <v>74</v>
      </c>
      <c r="E93" s="24" t="s">
        <v>18</v>
      </c>
      <c r="F93" s="39">
        <v>250</v>
      </c>
    </row>
    <row r="94" spans="1:6" x14ac:dyDescent="0.3">
      <c r="A94" s="35">
        <v>91</v>
      </c>
      <c r="B94" s="33">
        <v>46128</v>
      </c>
      <c r="C94" s="34" t="s">
        <v>68</v>
      </c>
      <c r="D94" s="31" t="s">
        <v>72</v>
      </c>
      <c r="E94" s="24" t="s">
        <v>18</v>
      </c>
      <c r="F94" s="39">
        <v>580</v>
      </c>
    </row>
    <row r="95" spans="1:6" x14ac:dyDescent="0.3">
      <c r="A95" s="35">
        <v>92</v>
      </c>
      <c r="B95" s="33">
        <v>46129</v>
      </c>
      <c r="C95" s="34" t="s">
        <v>4</v>
      </c>
      <c r="D95" t="s">
        <v>24</v>
      </c>
      <c r="E95" s="24" t="s">
        <v>17</v>
      </c>
      <c r="F95" s="39">
        <v>128</v>
      </c>
    </row>
    <row r="96" spans="1:6" x14ac:dyDescent="0.3">
      <c r="A96" s="35">
        <v>93</v>
      </c>
      <c r="B96" s="33">
        <v>46130</v>
      </c>
      <c r="C96" s="34" t="s">
        <v>7</v>
      </c>
      <c r="D96" t="s">
        <v>63</v>
      </c>
      <c r="E96" s="24" t="s">
        <v>69</v>
      </c>
      <c r="F96" s="39">
        <v>70</v>
      </c>
    </row>
    <row r="97" spans="1:6" x14ac:dyDescent="0.3">
      <c r="A97" s="35">
        <v>94</v>
      </c>
      <c r="B97" s="33">
        <v>46131</v>
      </c>
      <c r="C97" s="34" t="s">
        <v>9</v>
      </c>
      <c r="D97" t="s">
        <v>27</v>
      </c>
      <c r="E97" s="24" t="s">
        <v>69</v>
      </c>
      <c r="F97" s="39">
        <v>34</v>
      </c>
    </row>
    <row r="98" spans="1:6" x14ac:dyDescent="0.3">
      <c r="A98" s="35">
        <v>95</v>
      </c>
      <c r="B98" s="33">
        <v>46135</v>
      </c>
      <c r="C98" s="34" t="s">
        <v>11</v>
      </c>
      <c r="D98" t="s">
        <v>29</v>
      </c>
      <c r="E98" s="24" t="s">
        <v>17</v>
      </c>
      <c r="F98" s="39">
        <v>29</v>
      </c>
    </row>
    <row r="99" spans="1:6" x14ac:dyDescent="0.3">
      <c r="A99" s="35">
        <v>96</v>
      </c>
      <c r="B99" s="33">
        <v>46137</v>
      </c>
      <c r="C99" s="34" t="s">
        <v>8</v>
      </c>
      <c r="D99" t="s">
        <v>33</v>
      </c>
      <c r="E99" s="24" t="s">
        <v>69</v>
      </c>
      <c r="F99" s="39">
        <v>6.5</v>
      </c>
    </row>
    <row r="100" spans="1:6" x14ac:dyDescent="0.3">
      <c r="A100" s="35">
        <v>97</v>
      </c>
      <c r="B100" s="33">
        <v>46139</v>
      </c>
      <c r="C100" s="34" t="s">
        <v>10</v>
      </c>
      <c r="D100" t="s">
        <v>65</v>
      </c>
      <c r="E100" s="24" t="s">
        <v>18</v>
      </c>
      <c r="F100" s="39">
        <v>28</v>
      </c>
    </row>
    <row r="101" spans="1:6" x14ac:dyDescent="0.3">
      <c r="A101" s="35">
        <v>98</v>
      </c>
      <c r="B101" s="33">
        <v>46142</v>
      </c>
      <c r="C101" s="34" t="s">
        <v>66</v>
      </c>
      <c r="D101" t="s">
        <v>73</v>
      </c>
      <c r="E101" s="24" t="s">
        <v>18</v>
      </c>
      <c r="F101" s="39">
        <v>3800</v>
      </c>
    </row>
    <row r="102" spans="1:6" x14ac:dyDescent="0.3">
      <c r="A102" s="35">
        <v>99</v>
      </c>
      <c r="B102" s="33">
        <v>46143</v>
      </c>
      <c r="C102" s="34" t="s">
        <v>42</v>
      </c>
      <c r="D102" t="s">
        <v>70</v>
      </c>
      <c r="E102" s="24" t="s">
        <v>18</v>
      </c>
      <c r="F102" s="39">
        <v>1900</v>
      </c>
    </row>
    <row r="103" spans="1:6" x14ac:dyDescent="0.3">
      <c r="A103" s="35">
        <v>100</v>
      </c>
      <c r="B103" s="33">
        <v>46143</v>
      </c>
      <c r="C103" s="34" t="s">
        <v>14</v>
      </c>
      <c r="D103" t="s">
        <v>70</v>
      </c>
      <c r="E103" s="24" t="s">
        <v>18</v>
      </c>
      <c r="F103" s="39">
        <v>170</v>
      </c>
    </row>
    <row r="104" spans="1:6" x14ac:dyDescent="0.3">
      <c r="A104" s="35">
        <v>101</v>
      </c>
      <c r="B104" s="33">
        <v>46144</v>
      </c>
      <c r="C104" s="34" t="s">
        <v>4</v>
      </c>
      <c r="D104" t="s">
        <v>59</v>
      </c>
      <c r="E104" s="24" t="s">
        <v>17</v>
      </c>
      <c r="F104" s="39">
        <v>155</v>
      </c>
    </row>
    <row r="105" spans="1:6" x14ac:dyDescent="0.3">
      <c r="A105" s="35">
        <v>102</v>
      </c>
      <c r="B105" s="33">
        <v>46144</v>
      </c>
      <c r="C105" s="34" t="s">
        <v>8</v>
      </c>
      <c r="D105" t="s">
        <v>28</v>
      </c>
      <c r="E105" s="24" t="s">
        <v>69</v>
      </c>
      <c r="F105" s="39">
        <v>22</v>
      </c>
    </row>
    <row r="106" spans="1:6" x14ac:dyDescent="0.3">
      <c r="A106" s="35">
        <v>103</v>
      </c>
      <c r="B106" s="33">
        <v>46144</v>
      </c>
      <c r="C106" s="34" t="s">
        <v>11</v>
      </c>
      <c r="D106" t="s">
        <v>29</v>
      </c>
      <c r="E106" s="24" t="s">
        <v>17</v>
      </c>
      <c r="F106" s="39">
        <v>25</v>
      </c>
    </row>
    <row r="107" spans="1:6" x14ac:dyDescent="0.3">
      <c r="A107" s="35">
        <v>104</v>
      </c>
      <c r="B107" s="33">
        <v>46146</v>
      </c>
      <c r="C107" s="34" t="s">
        <v>7</v>
      </c>
      <c r="D107" t="s">
        <v>63</v>
      </c>
      <c r="E107" s="24" t="s">
        <v>69</v>
      </c>
      <c r="F107" s="39">
        <v>75</v>
      </c>
    </row>
    <row r="108" spans="1:6" x14ac:dyDescent="0.3">
      <c r="A108" s="35">
        <v>105</v>
      </c>
      <c r="B108" s="33">
        <v>46137</v>
      </c>
      <c r="C108" s="34" t="s">
        <v>5</v>
      </c>
      <c r="D108" t="s">
        <v>62</v>
      </c>
      <c r="E108" s="24" t="s">
        <v>18</v>
      </c>
      <c r="F108" s="41">
        <v>15.99</v>
      </c>
    </row>
    <row r="109" spans="1:6" x14ac:dyDescent="0.3">
      <c r="A109" s="35">
        <v>106</v>
      </c>
      <c r="B109" s="44">
        <v>46057</v>
      </c>
      <c r="C109" s="45" t="s">
        <v>3</v>
      </c>
      <c r="D109" s="29"/>
      <c r="E109" s="28" t="s">
        <v>18</v>
      </c>
      <c r="F109" s="47">
        <v>2500</v>
      </c>
    </row>
    <row r="110" spans="1:6" x14ac:dyDescent="0.3">
      <c r="A110" s="35">
        <v>107</v>
      </c>
      <c r="B110" s="44">
        <v>46057</v>
      </c>
      <c r="C110" s="45" t="s">
        <v>2</v>
      </c>
      <c r="D110" s="29"/>
      <c r="E110" s="28" t="s">
        <v>17</v>
      </c>
      <c r="F110" s="47">
        <v>2500</v>
      </c>
    </row>
    <row r="111" spans="1:6" x14ac:dyDescent="0.3">
      <c r="A111" s="35">
        <v>108</v>
      </c>
      <c r="B111" s="44">
        <v>46057</v>
      </c>
      <c r="C111" s="45" t="s">
        <v>3</v>
      </c>
      <c r="D111" s="29"/>
      <c r="E111" s="28" t="s">
        <v>18</v>
      </c>
      <c r="F111" s="47">
        <v>1700</v>
      </c>
    </row>
    <row r="112" spans="1:6" x14ac:dyDescent="0.3">
      <c r="A112" s="35">
        <v>109</v>
      </c>
      <c r="B112" s="44">
        <v>46057</v>
      </c>
      <c r="C112" s="45" t="s">
        <v>2</v>
      </c>
      <c r="D112" s="29"/>
      <c r="E112" s="28" t="s">
        <v>69</v>
      </c>
      <c r="F112" s="47">
        <v>1700</v>
      </c>
    </row>
    <row r="113" spans="1:6" x14ac:dyDescent="0.3">
      <c r="A113" s="35">
        <v>110</v>
      </c>
      <c r="B113" s="33">
        <v>46148</v>
      </c>
      <c r="C113" s="34" t="s">
        <v>5</v>
      </c>
      <c r="D113" t="s">
        <v>61</v>
      </c>
      <c r="E113" s="24" t="s">
        <v>18</v>
      </c>
      <c r="F113" s="39">
        <v>120</v>
      </c>
    </row>
    <row r="114" spans="1:6" x14ac:dyDescent="0.3">
      <c r="A114" s="35">
        <v>111</v>
      </c>
      <c r="B114" s="33">
        <v>46149</v>
      </c>
      <c r="C114" s="34" t="s">
        <v>6</v>
      </c>
      <c r="D114" t="s">
        <v>32</v>
      </c>
      <c r="E114" s="24" t="s">
        <v>69</v>
      </c>
      <c r="F114" s="39">
        <v>95</v>
      </c>
    </row>
    <row r="115" spans="1:6" x14ac:dyDescent="0.3">
      <c r="A115" s="35">
        <v>112</v>
      </c>
      <c r="B115" s="33">
        <v>46150</v>
      </c>
      <c r="C115" s="34" t="s">
        <v>9</v>
      </c>
      <c r="D115" t="s">
        <v>27</v>
      </c>
      <c r="E115" s="24" t="s">
        <v>69</v>
      </c>
      <c r="F115" s="39">
        <v>29</v>
      </c>
    </row>
    <row r="116" spans="1:6" x14ac:dyDescent="0.3">
      <c r="A116" s="35">
        <v>113</v>
      </c>
      <c r="B116" s="33">
        <v>46150</v>
      </c>
      <c r="C116" s="34" t="s">
        <v>8</v>
      </c>
      <c r="D116" t="s">
        <v>28</v>
      </c>
      <c r="E116" s="24" t="s">
        <v>69</v>
      </c>
      <c r="F116" s="39">
        <v>20</v>
      </c>
    </row>
    <row r="117" spans="1:6" x14ac:dyDescent="0.3">
      <c r="A117" s="35">
        <v>114</v>
      </c>
      <c r="B117" s="33">
        <v>46150</v>
      </c>
      <c r="C117" s="34" t="s">
        <v>11</v>
      </c>
      <c r="D117" t="s">
        <v>29</v>
      </c>
      <c r="E117" s="24" t="s">
        <v>17</v>
      </c>
      <c r="F117" s="39">
        <v>24</v>
      </c>
    </row>
    <row r="118" spans="1:6" x14ac:dyDescent="0.3">
      <c r="A118" s="35">
        <v>115</v>
      </c>
      <c r="B118" s="33">
        <v>46152</v>
      </c>
      <c r="C118" s="34" t="s">
        <v>4</v>
      </c>
      <c r="D118" t="s">
        <v>59</v>
      </c>
      <c r="E118" s="24" t="s">
        <v>17</v>
      </c>
      <c r="F118" s="39">
        <v>140</v>
      </c>
    </row>
    <row r="119" spans="1:6" x14ac:dyDescent="0.3">
      <c r="A119" s="35">
        <v>116</v>
      </c>
      <c r="B119" s="33">
        <v>46160</v>
      </c>
      <c r="C119" s="34" t="s">
        <v>12</v>
      </c>
      <c r="D119" t="s">
        <v>71</v>
      </c>
      <c r="E119" s="24" t="s">
        <v>18</v>
      </c>
      <c r="F119" s="39">
        <v>30</v>
      </c>
    </row>
    <row r="120" spans="1:6" x14ac:dyDescent="0.3">
      <c r="A120" s="35">
        <v>117</v>
      </c>
      <c r="B120" s="33">
        <v>46155</v>
      </c>
      <c r="C120" s="34" t="s">
        <v>11</v>
      </c>
      <c r="D120" t="s">
        <v>29</v>
      </c>
      <c r="E120" s="24" t="s">
        <v>17</v>
      </c>
      <c r="F120" s="39">
        <v>28</v>
      </c>
    </row>
    <row r="121" spans="1:6" x14ac:dyDescent="0.3">
      <c r="A121" s="35">
        <v>118</v>
      </c>
      <c r="B121" s="33">
        <v>46156</v>
      </c>
      <c r="C121" s="34" t="s">
        <v>8</v>
      </c>
      <c r="D121" t="s">
        <v>33</v>
      </c>
      <c r="E121" s="24" t="s">
        <v>69</v>
      </c>
      <c r="F121" s="39">
        <v>6.5</v>
      </c>
    </row>
    <row r="122" spans="1:6" x14ac:dyDescent="0.3">
      <c r="A122" s="35">
        <v>119</v>
      </c>
      <c r="B122" s="33">
        <v>46157</v>
      </c>
      <c r="C122" s="34" t="s">
        <v>13</v>
      </c>
      <c r="D122" t="s">
        <v>74</v>
      </c>
      <c r="E122" s="24" t="s">
        <v>18</v>
      </c>
      <c r="F122" s="39">
        <v>250</v>
      </c>
    </row>
    <row r="123" spans="1:6" x14ac:dyDescent="0.3">
      <c r="A123" s="35">
        <v>120</v>
      </c>
      <c r="B123" s="33">
        <v>46158</v>
      </c>
      <c r="C123" s="34" t="s">
        <v>68</v>
      </c>
      <c r="D123" s="31" t="s">
        <v>72</v>
      </c>
      <c r="E123" s="24" t="s">
        <v>18</v>
      </c>
      <c r="F123" s="39">
        <v>720</v>
      </c>
    </row>
    <row r="124" spans="1:6" x14ac:dyDescent="0.3">
      <c r="A124" s="35">
        <v>121</v>
      </c>
      <c r="B124" s="33">
        <v>46159</v>
      </c>
      <c r="C124" s="34" t="s">
        <v>4</v>
      </c>
      <c r="D124" t="s">
        <v>34</v>
      </c>
      <c r="E124" s="24" t="s">
        <v>17</v>
      </c>
      <c r="F124" s="39">
        <v>132</v>
      </c>
    </row>
    <row r="125" spans="1:6" x14ac:dyDescent="0.3">
      <c r="A125" s="35">
        <v>122</v>
      </c>
      <c r="B125" s="33">
        <v>46159</v>
      </c>
      <c r="C125" s="34" t="s">
        <v>9</v>
      </c>
      <c r="D125" t="s">
        <v>27</v>
      </c>
      <c r="E125" s="24" t="s">
        <v>69</v>
      </c>
      <c r="F125" s="39">
        <v>33</v>
      </c>
    </row>
    <row r="126" spans="1:6" x14ac:dyDescent="0.3">
      <c r="A126" s="35">
        <v>123</v>
      </c>
      <c r="B126" s="33">
        <v>46159</v>
      </c>
      <c r="C126" s="34" t="s">
        <v>7</v>
      </c>
      <c r="D126" t="s">
        <v>63</v>
      </c>
      <c r="E126" s="24" t="s">
        <v>69</v>
      </c>
      <c r="F126" s="39">
        <v>78</v>
      </c>
    </row>
    <row r="127" spans="1:6" x14ac:dyDescent="0.3">
      <c r="A127" s="35">
        <v>124</v>
      </c>
      <c r="B127" s="33">
        <v>46164</v>
      </c>
      <c r="C127" s="34" t="s">
        <v>11</v>
      </c>
      <c r="D127" t="s">
        <v>29</v>
      </c>
      <c r="E127" s="24" t="s">
        <v>17</v>
      </c>
      <c r="F127" s="39">
        <v>30</v>
      </c>
    </row>
    <row r="128" spans="1:6" x14ac:dyDescent="0.3">
      <c r="A128" s="35">
        <v>125</v>
      </c>
      <c r="B128" s="33">
        <v>46166</v>
      </c>
      <c r="C128" s="34" t="s">
        <v>8</v>
      </c>
      <c r="D128" t="s">
        <v>26</v>
      </c>
      <c r="E128" s="24" t="s">
        <v>69</v>
      </c>
      <c r="F128" s="39">
        <v>25</v>
      </c>
    </row>
    <row r="129" spans="1:6" x14ac:dyDescent="0.3">
      <c r="A129" s="35">
        <v>126</v>
      </c>
      <c r="B129" s="33">
        <v>46170</v>
      </c>
      <c r="C129" s="34" t="s">
        <v>4</v>
      </c>
      <c r="D129" t="s">
        <v>59</v>
      </c>
      <c r="E129" s="24" t="s">
        <v>17</v>
      </c>
      <c r="F129" s="39">
        <v>118</v>
      </c>
    </row>
    <row r="130" spans="1:6" x14ac:dyDescent="0.3">
      <c r="A130" s="35">
        <v>127</v>
      </c>
      <c r="B130" s="33">
        <v>46171</v>
      </c>
      <c r="C130" s="34" t="s">
        <v>6</v>
      </c>
      <c r="D130" t="s">
        <v>32</v>
      </c>
      <c r="E130" s="24" t="s">
        <v>69</v>
      </c>
      <c r="F130" s="39">
        <v>60</v>
      </c>
    </row>
    <row r="131" spans="1:6" x14ac:dyDescent="0.3">
      <c r="A131" s="35">
        <v>128</v>
      </c>
      <c r="B131" s="33">
        <v>46172</v>
      </c>
      <c r="C131" s="34" t="s">
        <v>66</v>
      </c>
      <c r="D131" t="s">
        <v>73</v>
      </c>
      <c r="E131" s="24" t="s">
        <v>18</v>
      </c>
      <c r="F131" s="39">
        <v>3750</v>
      </c>
    </row>
    <row r="132" spans="1:6" x14ac:dyDescent="0.3">
      <c r="A132" s="35">
        <v>129</v>
      </c>
      <c r="B132" s="33">
        <v>46174</v>
      </c>
      <c r="C132" s="34" t="s">
        <v>42</v>
      </c>
      <c r="D132" t="s">
        <v>70</v>
      </c>
      <c r="E132" s="24" t="s">
        <v>18</v>
      </c>
      <c r="F132" s="39">
        <v>1900</v>
      </c>
    </row>
    <row r="133" spans="1:6" x14ac:dyDescent="0.3">
      <c r="A133" s="35">
        <v>130</v>
      </c>
      <c r="B133" s="33">
        <v>46174</v>
      </c>
      <c r="C133" s="34" t="s">
        <v>14</v>
      </c>
      <c r="D133" t="s">
        <v>70</v>
      </c>
      <c r="E133" s="24" t="s">
        <v>18</v>
      </c>
      <c r="F133" s="39">
        <v>168</v>
      </c>
    </row>
    <row r="134" spans="1:6" x14ac:dyDescent="0.3">
      <c r="A134" s="35">
        <v>131</v>
      </c>
      <c r="B134" s="33">
        <v>46175</v>
      </c>
      <c r="C134" s="34" t="s">
        <v>4</v>
      </c>
      <c r="D134" t="s">
        <v>59</v>
      </c>
      <c r="E134" s="24" t="s">
        <v>17</v>
      </c>
      <c r="F134" s="39">
        <v>148</v>
      </c>
    </row>
    <row r="135" spans="1:6" x14ac:dyDescent="0.3">
      <c r="A135" s="35">
        <v>132</v>
      </c>
      <c r="B135" s="33">
        <v>46175</v>
      </c>
      <c r="C135" s="34" t="s">
        <v>8</v>
      </c>
      <c r="D135" t="s">
        <v>31</v>
      </c>
      <c r="E135" s="24" t="s">
        <v>69</v>
      </c>
      <c r="F135" s="39">
        <v>20</v>
      </c>
    </row>
    <row r="136" spans="1:6" x14ac:dyDescent="0.3">
      <c r="A136" s="35">
        <v>133</v>
      </c>
      <c r="B136" s="33">
        <v>46175</v>
      </c>
      <c r="C136" s="34" t="s">
        <v>11</v>
      </c>
      <c r="D136" t="s">
        <v>29</v>
      </c>
      <c r="E136" s="24" t="s">
        <v>17</v>
      </c>
      <c r="F136" s="39">
        <v>26</v>
      </c>
    </row>
    <row r="137" spans="1:6" x14ac:dyDescent="0.3">
      <c r="A137" s="35">
        <v>134</v>
      </c>
      <c r="B137" s="33">
        <v>46177</v>
      </c>
      <c r="C137" s="34" t="s">
        <v>7</v>
      </c>
      <c r="D137" t="s">
        <v>63</v>
      </c>
      <c r="E137" s="24" t="s">
        <v>69</v>
      </c>
      <c r="F137" s="39">
        <v>74</v>
      </c>
    </row>
    <row r="138" spans="1:6" x14ac:dyDescent="0.3">
      <c r="A138" s="35">
        <v>135</v>
      </c>
      <c r="B138" s="33">
        <v>46167</v>
      </c>
      <c r="C138" s="34" t="s">
        <v>5</v>
      </c>
      <c r="D138" t="s">
        <v>62</v>
      </c>
      <c r="E138" s="24" t="s">
        <v>18</v>
      </c>
      <c r="F138" s="41">
        <v>15.99</v>
      </c>
    </row>
    <row r="139" spans="1:6" x14ac:dyDescent="0.3">
      <c r="A139" s="35">
        <v>136</v>
      </c>
      <c r="B139" s="33">
        <v>46179</v>
      </c>
      <c r="C139" s="34" t="s">
        <v>5</v>
      </c>
      <c r="D139" t="s">
        <v>61</v>
      </c>
      <c r="E139" s="24" t="s">
        <v>18</v>
      </c>
      <c r="F139" s="39">
        <v>120</v>
      </c>
    </row>
    <row r="140" spans="1:6" x14ac:dyDescent="0.3">
      <c r="A140" s="35">
        <v>137</v>
      </c>
      <c r="B140" s="33">
        <v>46180</v>
      </c>
      <c r="C140" s="34" t="s">
        <v>6</v>
      </c>
      <c r="D140" t="s">
        <v>35</v>
      </c>
      <c r="E140" s="24" t="s">
        <v>69</v>
      </c>
      <c r="F140" s="39">
        <v>105</v>
      </c>
    </row>
    <row r="141" spans="1:6" s="29" customFormat="1" x14ac:dyDescent="0.3">
      <c r="A141" s="35">
        <v>138</v>
      </c>
      <c r="B141" s="44">
        <v>46148</v>
      </c>
      <c r="C141" s="45" t="s">
        <v>3</v>
      </c>
      <c r="E141" s="28" t="s">
        <v>18</v>
      </c>
      <c r="F141" s="46">
        <v>2700</v>
      </c>
    </row>
    <row r="142" spans="1:6" s="29" customFormat="1" x14ac:dyDescent="0.3">
      <c r="A142" s="35">
        <v>139</v>
      </c>
      <c r="B142" s="44">
        <v>46148</v>
      </c>
      <c r="C142" s="45" t="s">
        <v>2</v>
      </c>
      <c r="E142" s="28" t="s">
        <v>17</v>
      </c>
      <c r="F142" s="46">
        <v>2700</v>
      </c>
    </row>
    <row r="143" spans="1:6" s="29" customFormat="1" x14ac:dyDescent="0.3">
      <c r="A143" s="35">
        <v>140</v>
      </c>
      <c r="B143" s="44">
        <v>46148</v>
      </c>
      <c r="C143" s="45" t="s">
        <v>3</v>
      </c>
      <c r="E143" s="28" t="s">
        <v>18</v>
      </c>
      <c r="F143" s="46">
        <v>2700</v>
      </c>
    </row>
    <row r="144" spans="1:6" s="29" customFormat="1" x14ac:dyDescent="0.3">
      <c r="A144" s="35">
        <v>141</v>
      </c>
      <c r="B144" s="44">
        <v>46148</v>
      </c>
      <c r="C144" s="45" t="s">
        <v>2</v>
      </c>
      <c r="E144" s="28" t="s">
        <v>69</v>
      </c>
      <c r="F144" s="46">
        <v>2700</v>
      </c>
    </row>
    <row r="145" spans="1:6" x14ac:dyDescent="0.3">
      <c r="A145" s="35">
        <v>142</v>
      </c>
      <c r="B145" s="33">
        <v>46181</v>
      </c>
      <c r="C145" s="34" t="s">
        <v>9</v>
      </c>
      <c r="D145" t="s">
        <v>27</v>
      </c>
      <c r="E145" s="24" t="s">
        <v>69</v>
      </c>
      <c r="F145" s="39">
        <v>32</v>
      </c>
    </row>
    <row r="146" spans="1:6" x14ac:dyDescent="0.3">
      <c r="A146" s="35">
        <v>143</v>
      </c>
      <c r="B146" s="33">
        <v>46181</v>
      </c>
      <c r="C146" s="34" t="s">
        <v>8</v>
      </c>
      <c r="D146" t="s">
        <v>31</v>
      </c>
      <c r="E146" s="24" t="s">
        <v>69</v>
      </c>
      <c r="F146" s="39">
        <v>24</v>
      </c>
    </row>
    <row r="147" spans="1:6" x14ac:dyDescent="0.3">
      <c r="A147" s="35">
        <v>144</v>
      </c>
      <c r="B147" s="33">
        <v>46181</v>
      </c>
      <c r="C147" s="34" t="s">
        <v>11</v>
      </c>
      <c r="D147" t="s">
        <v>29</v>
      </c>
      <c r="E147" s="24" t="s">
        <v>17</v>
      </c>
      <c r="F147" s="39">
        <v>27</v>
      </c>
    </row>
    <row r="148" spans="1:6" x14ac:dyDescent="0.3">
      <c r="A148" s="35">
        <v>145</v>
      </c>
      <c r="B148" s="33">
        <v>46182</v>
      </c>
      <c r="C148" s="34" t="s">
        <v>10</v>
      </c>
      <c r="D148" t="s">
        <v>65</v>
      </c>
      <c r="E148" s="24" t="s">
        <v>18</v>
      </c>
      <c r="F148" s="39">
        <v>40</v>
      </c>
    </row>
    <row r="149" spans="1:6" x14ac:dyDescent="0.3">
      <c r="A149" s="35">
        <v>146</v>
      </c>
      <c r="B149" s="33">
        <v>46183</v>
      </c>
      <c r="C149" s="34" t="s">
        <v>4</v>
      </c>
      <c r="D149" t="s">
        <v>59</v>
      </c>
      <c r="E149" s="24" t="s">
        <v>17</v>
      </c>
      <c r="F149" s="39">
        <v>138</v>
      </c>
    </row>
    <row r="150" spans="1:6" x14ac:dyDescent="0.3">
      <c r="A150" s="35">
        <v>147</v>
      </c>
      <c r="B150" s="33">
        <v>46193</v>
      </c>
      <c r="C150" s="34" t="s">
        <v>12</v>
      </c>
      <c r="D150" t="s">
        <v>41</v>
      </c>
      <c r="E150" s="24" t="s">
        <v>18</v>
      </c>
      <c r="F150" s="39">
        <v>315</v>
      </c>
    </row>
    <row r="151" spans="1:6" x14ac:dyDescent="0.3">
      <c r="A151" s="35">
        <v>148</v>
      </c>
      <c r="B151" s="33">
        <v>46186</v>
      </c>
      <c r="C151" s="34" t="s">
        <v>11</v>
      </c>
      <c r="D151" t="s">
        <v>29</v>
      </c>
      <c r="E151" s="24" t="s">
        <v>17</v>
      </c>
      <c r="F151" s="39">
        <v>29</v>
      </c>
    </row>
    <row r="152" spans="1:6" x14ac:dyDescent="0.3">
      <c r="A152" s="35">
        <v>149</v>
      </c>
      <c r="B152" s="33">
        <v>46187</v>
      </c>
      <c r="C152" s="34" t="s">
        <v>8</v>
      </c>
      <c r="D152" t="s">
        <v>28</v>
      </c>
      <c r="E152" s="24" t="s">
        <v>69</v>
      </c>
      <c r="F152" s="39">
        <v>26</v>
      </c>
    </row>
    <row r="153" spans="1:6" x14ac:dyDescent="0.3">
      <c r="A153" s="35">
        <v>150</v>
      </c>
      <c r="B153" s="33">
        <v>46188</v>
      </c>
      <c r="C153" s="34" t="s">
        <v>13</v>
      </c>
      <c r="D153" t="s">
        <v>74</v>
      </c>
      <c r="E153" s="24" t="s">
        <v>18</v>
      </c>
      <c r="F153" s="39">
        <v>250</v>
      </c>
    </row>
    <row r="154" spans="1:6" x14ac:dyDescent="0.3">
      <c r="A154" s="35">
        <v>151</v>
      </c>
      <c r="B154" s="33">
        <v>46189</v>
      </c>
      <c r="C154" s="34" t="s">
        <v>68</v>
      </c>
      <c r="D154" s="31" t="s">
        <v>72</v>
      </c>
      <c r="E154" s="24" t="s">
        <v>18</v>
      </c>
      <c r="F154" s="39">
        <v>540</v>
      </c>
    </row>
    <row r="155" spans="1:6" x14ac:dyDescent="0.3">
      <c r="A155" s="35">
        <v>152</v>
      </c>
      <c r="B155" s="33">
        <v>46190</v>
      </c>
      <c r="C155" s="34" t="s">
        <v>4</v>
      </c>
      <c r="D155" t="s">
        <v>59</v>
      </c>
      <c r="E155" s="24" t="s">
        <v>17</v>
      </c>
      <c r="F155" s="39">
        <v>130</v>
      </c>
    </row>
    <row r="156" spans="1:6" x14ac:dyDescent="0.3">
      <c r="A156" s="35">
        <v>153</v>
      </c>
      <c r="B156" s="33">
        <v>46190</v>
      </c>
      <c r="C156" s="34" t="s">
        <v>9</v>
      </c>
      <c r="D156" t="s">
        <v>27</v>
      </c>
      <c r="E156" s="24" t="s">
        <v>69</v>
      </c>
      <c r="F156" s="39">
        <v>35</v>
      </c>
    </row>
    <row r="157" spans="1:6" x14ac:dyDescent="0.3">
      <c r="A157" s="35">
        <v>154</v>
      </c>
      <c r="B157" s="33">
        <v>46190</v>
      </c>
      <c r="C157" s="34" t="s">
        <v>7</v>
      </c>
      <c r="D157" t="s">
        <v>64</v>
      </c>
      <c r="E157" s="24" t="s">
        <v>69</v>
      </c>
      <c r="F157" s="39">
        <v>80</v>
      </c>
    </row>
    <row r="158" spans="1:6" x14ac:dyDescent="0.3">
      <c r="A158" s="35">
        <v>155</v>
      </c>
      <c r="B158" s="33">
        <v>46194</v>
      </c>
      <c r="C158" s="34" t="s">
        <v>11</v>
      </c>
      <c r="D158" t="s">
        <v>29</v>
      </c>
      <c r="E158" s="24" t="s">
        <v>17</v>
      </c>
      <c r="F158" s="39">
        <v>31</v>
      </c>
    </row>
    <row r="159" spans="1:6" x14ac:dyDescent="0.3">
      <c r="A159" s="35">
        <v>156</v>
      </c>
      <c r="B159" s="33">
        <v>46196</v>
      </c>
      <c r="C159" s="34" t="s">
        <v>8</v>
      </c>
      <c r="D159" t="s">
        <v>33</v>
      </c>
      <c r="E159" s="24" t="s">
        <v>69</v>
      </c>
      <c r="F159" s="39">
        <v>6.5</v>
      </c>
    </row>
    <row r="160" spans="1:6" x14ac:dyDescent="0.3">
      <c r="A160" s="35">
        <v>157</v>
      </c>
      <c r="B160" s="33">
        <v>46198</v>
      </c>
      <c r="C160" s="34" t="s">
        <v>10</v>
      </c>
      <c r="D160" t="s">
        <v>65</v>
      </c>
      <c r="E160" s="24" t="s">
        <v>18</v>
      </c>
      <c r="F160" s="39">
        <v>30</v>
      </c>
    </row>
    <row r="161" spans="1:6" x14ac:dyDescent="0.3">
      <c r="A161" s="35">
        <v>158</v>
      </c>
      <c r="B161" s="33">
        <v>46200</v>
      </c>
      <c r="C161" s="34" t="s">
        <v>4</v>
      </c>
      <c r="D161" t="s">
        <v>34</v>
      </c>
      <c r="E161" s="24" t="s">
        <v>17</v>
      </c>
      <c r="F161" s="39">
        <v>120</v>
      </c>
    </row>
    <row r="162" spans="1:6" x14ac:dyDescent="0.3">
      <c r="A162" s="35">
        <v>159</v>
      </c>
      <c r="B162" s="33">
        <v>46201</v>
      </c>
      <c r="C162" s="34" t="s">
        <v>6</v>
      </c>
      <c r="D162" t="s">
        <v>35</v>
      </c>
      <c r="E162" s="24" t="s">
        <v>69</v>
      </c>
      <c r="F162" s="39">
        <v>88</v>
      </c>
    </row>
    <row r="163" spans="1:6" x14ac:dyDescent="0.3">
      <c r="A163" s="35">
        <v>160</v>
      </c>
      <c r="B163" s="33">
        <v>46202</v>
      </c>
      <c r="C163" s="34" t="s">
        <v>9</v>
      </c>
      <c r="D163" t="s">
        <v>27</v>
      </c>
      <c r="E163" s="24" t="s">
        <v>69</v>
      </c>
      <c r="F163" s="39">
        <v>28</v>
      </c>
    </row>
    <row r="164" spans="1:6" x14ac:dyDescent="0.3">
      <c r="A164" s="35">
        <v>161</v>
      </c>
      <c r="B164" s="33">
        <v>46203</v>
      </c>
      <c r="C164" s="34" t="s">
        <v>66</v>
      </c>
      <c r="D164" t="s">
        <v>73</v>
      </c>
      <c r="E164" s="24" t="s">
        <v>18</v>
      </c>
      <c r="F164" s="39">
        <v>3970</v>
      </c>
    </row>
    <row r="165" spans="1:6" x14ac:dyDescent="0.3">
      <c r="A165" s="35">
        <v>162</v>
      </c>
      <c r="B165" s="33">
        <v>46204</v>
      </c>
      <c r="C165" s="34" t="s">
        <v>42</v>
      </c>
      <c r="D165" t="s">
        <v>70</v>
      </c>
      <c r="E165" s="24" t="s">
        <v>18</v>
      </c>
      <c r="F165" s="39">
        <v>1900</v>
      </c>
    </row>
    <row r="166" spans="1:6" x14ac:dyDescent="0.3">
      <c r="A166" s="35">
        <v>163</v>
      </c>
      <c r="B166" s="33">
        <v>46204</v>
      </c>
      <c r="C166" s="34" t="s">
        <v>14</v>
      </c>
      <c r="D166" t="s">
        <v>70</v>
      </c>
      <c r="E166" s="24" t="s">
        <v>18</v>
      </c>
      <c r="F166" s="39">
        <v>160</v>
      </c>
    </row>
    <row r="167" spans="1:6" x14ac:dyDescent="0.3">
      <c r="A167" s="35">
        <v>164</v>
      </c>
      <c r="B167" s="33">
        <v>46205</v>
      </c>
      <c r="C167" s="34" t="s">
        <v>4</v>
      </c>
      <c r="D167" t="s">
        <v>34</v>
      </c>
      <c r="E167" s="24" t="s">
        <v>17</v>
      </c>
      <c r="F167" s="39">
        <v>95</v>
      </c>
    </row>
    <row r="168" spans="1:6" x14ac:dyDescent="0.3">
      <c r="A168" s="35">
        <v>165</v>
      </c>
      <c r="B168" s="33">
        <v>46208</v>
      </c>
      <c r="C168" s="34" t="s">
        <v>11</v>
      </c>
      <c r="D168" t="s">
        <v>29</v>
      </c>
      <c r="E168" s="24" t="s">
        <v>17</v>
      </c>
      <c r="F168" s="39">
        <v>22</v>
      </c>
    </row>
    <row r="169" spans="1:6" x14ac:dyDescent="0.3">
      <c r="A169" s="35">
        <v>166</v>
      </c>
      <c r="B169" s="33">
        <v>46198</v>
      </c>
      <c r="C169" s="34" t="s">
        <v>5</v>
      </c>
      <c r="D169" t="s">
        <v>62</v>
      </c>
      <c r="E169" s="24" t="s">
        <v>18</v>
      </c>
      <c r="F169" s="41">
        <v>15.99</v>
      </c>
    </row>
    <row r="170" spans="1:6" x14ac:dyDescent="0.3">
      <c r="A170" s="35">
        <v>167</v>
      </c>
      <c r="B170" s="33">
        <v>46209</v>
      </c>
      <c r="C170" s="34" t="s">
        <v>5</v>
      </c>
      <c r="D170" t="s">
        <v>61</v>
      </c>
      <c r="E170" s="24" t="s">
        <v>18</v>
      </c>
      <c r="F170" s="39">
        <v>120</v>
      </c>
    </row>
    <row r="171" spans="1:6" x14ac:dyDescent="0.3">
      <c r="A171" s="35">
        <v>168</v>
      </c>
      <c r="B171" s="33">
        <v>46211</v>
      </c>
      <c r="C171" s="34" t="s">
        <v>8</v>
      </c>
      <c r="D171" t="s">
        <v>60</v>
      </c>
      <c r="E171" s="24" t="s">
        <v>69</v>
      </c>
      <c r="F171" s="39">
        <v>215.15</v>
      </c>
    </row>
    <row r="172" spans="1:6" x14ac:dyDescent="0.3">
      <c r="A172" s="35">
        <v>169</v>
      </c>
      <c r="B172" s="33">
        <v>46212</v>
      </c>
      <c r="C172" s="34" t="s">
        <v>7</v>
      </c>
      <c r="D172" t="s">
        <v>64</v>
      </c>
      <c r="E172" s="24" t="s">
        <v>69</v>
      </c>
      <c r="F172" s="39">
        <v>65</v>
      </c>
    </row>
    <row r="173" spans="1:6" x14ac:dyDescent="0.3">
      <c r="A173" s="35">
        <v>170</v>
      </c>
      <c r="B173" s="33">
        <v>46214</v>
      </c>
      <c r="C173" s="34" t="s">
        <v>68</v>
      </c>
      <c r="D173" s="31" t="s">
        <v>72</v>
      </c>
      <c r="E173" s="24" t="s">
        <v>18</v>
      </c>
      <c r="F173" s="39">
        <v>280</v>
      </c>
    </row>
    <row r="174" spans="1:6" x14ac:dyDescent="0.3">
      <c r="A174" s="35">
        <v>171</v>
      </c>
      <c r="B174" s="33">
        <v>46215</v>
      </c>
      <c r="C174" s="34" t="s">
        <v>12</v>
      </c>
      <c r="D174" t="s">
        <v>71</v>
      </c>
      <c r="E174" s="24" t="s">
        <v>18</v>
      </c>
      <c r="F174" s="39">
        <v>30</v>
      </c>
    </row>
    <row r="175" spans="1:6" x14ac:dyDescent="0.3">
      <c r="A175" s="35">
        <v>172</v>
      </c>
      <c r="B175" s="33">
        <v>46217</v>
      </c>
      <c r="C175" s="34" t="s">
        <v>4</v>
      </c>
      <c r="D175" t="s">
        <v>34</v>
      </c>
      <c r="E175" s="24" t="s">
        <v>17</v>
      </c>
      <c r="F175" s="39">
        <v>88</v>
      </c>
    </row>
    <row r="176" spans="1:6" x14ac:dyDescent="0.3">
      <c r="A176" s="35">
        <v>173</v>
      </c>
      <c r="B176" s="33">
        <v>46218</v>
      </c>
      <c r="C176" s="34" t="s">
        <v>13</v>
      </c>
      <c r="D176" t="s">
        <v>74</v>
      </c>
      <c r="E176" s="24" t="s">
        <v>18</v>
      </c>
      <c r="F176" s="39">
        <v>250</v>
      </c>
    </row>
    <row r="177" spans="1:6" x14ac:dyDescent="0.3">
      <c r="A177" s="35">
        <v>174</v>
      </c>
      <c r="B177" s="33">
        <v>46225</v>
      </c>
      <c r="C177" s="34" t="s">
        <v>8</v>
      </c>
      <c r="D177" t="s">
        <v>26</v>
      </c>
      <c r="E177" s="24" t="s">
        <v>69</v>
      </c>
      <c r="F177" s="39">
        <v>20</v>
      </c>
    </row>
    <row r="178" spans="1:6" x14ac:dyDescent="0.3">
      <c r="A178" s="35">
        <v>175</v>
      </c>
      <c r="B178" s="33">
        <v>46229</v>
      </c>
      <c r="C178" s="34" t="s">
        <v>11</v>
      </c>
      <c r="D178" t="s">
        <v>29</v>
      </c>
      <c r="E178" s="24" t="s">
        <v>17</v>
      </c>
      <c r="F178" s="39">
        <v>25</v>
      </c>
    </row>
    <row r="179" spans="1:6" x14ac:dyDescent="0.3">
      <c r="A179" s="35">
        <v>176</v>
      </c>
      <c r="B179" s="33">
        <v>46231</v>
      </c>
      <c r="C179" s="34" t="s">
        <v>4</v>
      </c>
      <c r="D179" t="s">
        <v>34</v>
      </c>
      <c r="E179" s="24" t="s">
        <v>17</v>
      </c>
      <c r="F179" s="39">
        <v>75</v>
      </c>
    </row>
    <row r="180" spans="1:6" x14ac:dyDescent="0.3">
      <c r="A180" s="35">
        <v>177</v>
      </c>
      <c r="B180" s="33">
        <v>46233</v>
      </c>
      <c r="C180" s="34" t="s">
        <v>66</v>
      </c>
      <c r="D180" t="s">
        <v>73</v>
      </c>
      <c r="E180" s="24" t="s">
        <v>18</v>
      </c>
      <c r="F180" s="39">
        <v>3800</v>
      </c>
    </row>
    <row r="181" spans="1:6" x14ac:dyDescent="0.3">
      <c r="A181" s="35">
        <v>178</v>
      </c>
      <c r="B181" s="33">
        <v>46235</v>
      </c>
      <c r="C181" s="34" t="s">
        <v>42</v>
      </c>
      <c r="D181" t="s">
        <v>70</v>
      </c>
      <c r="E181" s="24" t="s">
        <v>18</v>
      </c>
      <c r="F181" s="39">
        <v>1900</v>
      </c>
    </row>
    <row r="182" spans="1:6" x14ac:dyDescent="0.3">
      <c r="A182" s="35">
        <v>179</v>
      </c>
      <c r="B182" s="33">
        <v>46235</v>
      </c>
      <c r="C182" s="34" t="s">
        <v>14</v>
      </c>
      <c r="D182" t="s">
        <v>70</v>
      </c>
      <c r="E182" s="24" t="s">
        <v>18</v>
      </c>
      <c r="F182" s="39">
        <v>160</v>
      </c>
    </row>
    <row r="183" spans="1:6" x14ac:dyDescent="0.3">
      <c r="A183" s="35">
        <v>180</v>
      </c>
      <c r="B183" s="33">
        <v>46237</v>
      </c>
      <c r="C183" s="34" t="s">
        <v>4</v>
      </c>
      <c r="D183" t="s">
        <v>59</v>
      </c>
      <c r="E183" s="24" t="s">
        <v>17</v>
      </c>
      <c r="F183" s="39">
        <v>150</v>
      </c>
    </row>
    <row r="184" spans="1:6" x14ac:dyDescent="0.3">
      <c r="A184" s="35">
        <v>181</v>
      </c>
      <c r="B184" s="33">
        <v>46238</v>
      </c>
      <c r="C184" s="34" t="s">
        <v>11</v>
      </c>
      <c r="D184" t="s">
        <v>29</v>
      </c>
      <c r="E184" s="24" t="s">
        <v>17</v>
      </c>
      <c r="F184" s="39">
        <v>26</v>
      </c>
    </row>
    <row r="185" spans="1:6" x14ac:dyDescent="0.3">
      <c r="A185" s="35">
        <v>182</v>
      </c>
      <c r="B185" s="33">
        <v>46239</v>
      </c>
      <c r="C185" s="34" t="s">
        <v>8</v>
      </c>
      <c r="D185" t="s">
        <v>28</v>
      </c>
      <c r="E185" s="24" t="s">
        <v>69</v>
      </c>
      <c r="F185" s="39">
        <v>29</v>
      </c>
    </row>
    <row r="186" spans="1:6" x14ac:dyDescent="0.3">
      <c r="A186" s="35">
        <v>183</v>
      </c>
      <c r="B186" s="33">
        <v>46240</v>
      </c>
      <c r="C186" s="34" t="s">
        <v>7</v>
      </c>
      <c r="D186" t="s">
        <v>64</v>
      </c>
      <c r="E186" s="24" t="s">
        <v>69</v>
      </c>
      <c r="F186" s="39">
        <v>68</v>
      </c>
    </row>
    <row r="187" spans="1:6" x14ac:dyDescent="0.3">
      <c r="A187" s="35">
        <v>184</v>
      </c>
      <c r="B187" s="33">
        <v>46228</v>
      </c>
      <c r="C187" s="34" t="s">
        <v>5</v>
      </c>
      <c r="D187" t="s">
        <v>62</v>
      </c>
      <c r="E187" s="24" t="s">
        <v>18</v>
      </c>
      <c r="F187" s="41">
        <v>15.99</v>
      </c>
    </row>
    <row r="188" spans="1:6" x14ac:dyDescent="0.3">
      <c r="A188" s="35">
        <v>185</v>
      </c>
      <c r="B188" s="33">
        <v>46241</v>
      </c>
      <c r="C188" s="34" t="s">
        <v>5</v>
      </c>
      <c r="D188" t="s">
        <v>61</v>
      </c>
      <c r="E188" s="24" t="s">
        <v>18</v>
      </c>
      <c r="F188" s="39">
        <v>120</v>
      </c>
    </row>
    <row r="189" spans="1:6" x14ac:dyDescent="0.3">
      <c r="A189" s="35">
        <v>186</v>
      </c>
      <c r="B189" s="33">
        <v>46243</v>
      </c>
      <c r="C189" s="34" t="s">
        <v>6</v>
      </c>
      <c r="D189" t="s">
        <v>25</v>
      </c>
      <c r="E189" s="24" t="s">
        <v>69</v>
      </c>
      <c r="F189" s="39">
        <v>60</v>
      </c>
    </row>
    <row r="190" spans="1:6" x14ac:dyDescent="0.3">
      <c r="A190" s="35">
        <v>187</v>
      </c>
      <c r="B190" s="33">
        <v>46244</v>
      </c>
      <c r="C190" s="34" t="s">
        <v>68</v>
      </c>
      <c r="D190" s="31" t="s">
        <v>72</v>
      </c>
      <c r="E190" s="24" t="s">
        <v>18</v>
      </c>
      <c r="F190" s="39">
        <v>600</v>
      </c>
    </row>
    <row r="191" spans="1:6" x14ac:dyDescent="0.3">
      <c r="A191" s="35">
        <v>188</v>
      </c>
      <c r="B191" s="33">
        <v>46246</v>
      </c>
      <c r="C191" s="34" t="s">
        <v>9</v>
      </c>
      <c r="D191" t="s">
        <v>27</v>
      </c>
      <c r="E191" s="24" t="s">
        <v>69</v>
      </c>
      <c r="F191" s="39">
        <v>35</v>
      </c>
    </row>
    <row r="192" spans="1:6" x14ac:dyDescent="0.3">
      <c r="A192" s="35">
        <v>189</v>
      </c>
      <c r="B192" s="33">
        <v>46248</v>
      </c>
      <c r="C192" s="34" t="s">
        <v>4</v>
      </c>
      <c r="D192" t="s">
        <v>24</v>
      </c>
      <c r="E192" s="24" t="s">
        <v>17</v>
      </c>
      <c r="F192" s="39">
        <v>125</v>
      </c>
    </row>
    <row r="193" spans="1:6" x14ac:dyDescent="0.3">
      <c r="A193" s="35">
        <v>190</v>
      </c>
      <c r="B193" s="33">
        <v>46255</v>
      </c>
      <c r="C193" s="34" t="s">
        <v>13</v>
      </c>
      <c r="D193" t="s">
        <v>74</v>
      </c>
      <c r="E193" s="24" t="s">
        <v>18</v>
      </c>
      <c r="F193" s="39">
        <v>250</v>
      </c>
    </row>
    <row r="194" spans="1:6" x14ac:dyDescent="0.3">
      <c r="A194" s="35">
        <v>191</v>
      </c>
      <c r="B194" s="33">
        <v>46257</v>
      </c>
      <c r="C194" s="34" t="s">
        <v>10</v>
      </c>
      <c r="D194" t="s">
        <v>65</v>
      </c>
      <c r="E194" s="24" t="s">
        <v>18</v>
      </c>
      <c r="F194" s="39">
        <v>25</v>
      </c>
    </row>
    <row r="195" spans="1:6" x14ac:dyDescent="0.3">
      <c r="A195" s="35">
        <v>192</v>
      </c>
      <c r="B195" s="36">
        <v>46264</v>
      </c>
      <c r="C195" s="37" t="s">
        <v>66</v>
      </c>
      <c r="D195" t="s">
        <v>73</v>
      </c>
      <c r="E195" s="24" t="s">
        <v>18</v>
      </c>
      <c r="F195" s="40">
        <v>4300</v>
      </c>
    </row>
    <row r="196" spans="1:6" x14ac:dyDescent="0.3">
      <c r="A196" s="35">
        <v>193</v>
      </c>
      <c r="B196" s="33">
        <v>46266</v>
      </c>
      <c r="C196" s="34" t="s">
        <v>42</v>
      </c>
      <c r="D196" t="s">
        <v>70</v>
      </c>
      <c r="E196" s="24" t="s">
        <v>18</v>
      </c>
      <c r="F196" s="39">
        <v>1900</v>
      </c>
    </row>
    <row r="197" spans="1:6" x14ac:dyDescent="0.3">
      <c r="A197" s="35">
        <v>194</v>
      </c>
      <c r="B197" s="33">
        <v>46266</v>
      </c>
      <c r="C197" s="34" t="s">
        <v>14</v>
      </c>
      <c r="D197" t="s">
        <v>70</v>
      </c>
      <c r="E197" s="24" t="s">
        <v>18</v>
      </c>
      <c r="F197" s="39">
        <v>160</v>
      </c>
    </row>
    <row r="198" spans="1:6" x14ac:dyDescent="0.3">
      <c r="A198" s="35">
        <v>195</v>
      </c>
      <c r="B198" s="33">
        <v>46267</v>
      </c>
      <c r="C198" s="34" t="s">
        <v>4</v>
      </c>
      <c r="D198" t="s">
        <v>59</v>
      </c>
      <c r="E198" s="24" t="s">
        <v>17</v>
      </c>
      <c r="F198" s="39">
        <v>140</v>
      </c>
    </row>
    <row r="199" spans="1:6" x14ac:dyDescent="0.3">
      <c r="A199" s="35">
        <v>196</v>
      </c>
      <c r="B199" s="33">
        <v>46268</v>
      </c>
      <c r="C199" s="34" t="s">
        <v>11</v>
      </c>
      <c r="D199" t="s">
        <v>29</v>
      </c>
      <c r="E199" s="24" t="s">
        <v>17</v>
      </c>
      <c r="F199" s="39">
        <v>30</v>
      </c>
    </row>
    <row r="200" spans="1:6" x14ac:dyDescent="0.3">
      <c r="A200" s="35">
        <v>197</v>
      </c>
      <c r="B200" s="33">
        <v>46269</v>
      </c>
      <c r="C200" s="34" t="s">
        <v>8</v>
      </c>
      <c r="D200" t="s">
        <v>60</v>
      </c>
      <c r="E200" s="24" t="s">
        <v>69</v>
      </c>
      <c r="F200" s="39">
        <v>105.9</v>
      </c>
    </row>
    <row r="201" spans="1:6" x14ac:dyDescent="0.3">
      <c r="A201" s="35">
        <v>198</v>
      </c>
      <c r="B201" s="33">
        <v>46270</v>
      </c>
      <c r="C201" s="34" t="s">
        <v>7</v>
      </c>
      <c r="D201" t="s">
        <v>64</v>
      </c>
      <c r="E201" s="24" t="s">
        <v>69</v>
      </c>
      <c r="F201" s="39">
        <v>72</v>
      </c>
    </row>
    <row r="202" spans="1:6" x14ac:dyDescent="0.3">
      <c r="A202" s="35">
        <v>199</v>
      </c>
      <c r="B202" s="33">
        <v>46259</v>
      </c>
      <c r="C202" s="34" t="s">
        <v>5</v>
      </c>
      <c r="D202" t="s">
        <v>62</v>
      </c>
      <c r="E202" s="24" t="s">
        <v>18</v>
      </c>
      <c r="F202" s="41">
        <v>15.99</v>
      </c>
    </row>
    <row r="203" spans="1:6" x14ac:dyDescent="0.3">
      <c r="A203" s="35">
        <v>200</v>
      </c>
      <c r="B203" s="33">
        <v>46271</v>
      </c>
      <c r="C203" s="34" t="s">
        <v>5</v>
      </c>
      <c r="D203" t="s">
        <v>61</v>
      </c>
      <c r="E203" s="24" t="s">
        <v>18</v>
      </c>
      <c r="F203" s="39">
        <v>120</v>
      </c>
    </row>
    <row r="204" spans="1:6" x14ac:dyDescent="0.3">
      <c r="A204" s="35">
        <v>201</v>
      </c>
      <c r="B204" s="33">
        <v>46273</v>
      </c>
      <c r="C204" s="34" t="s">
        <v>6</v>
      </c>
      <c r="D204" t="s">
        <v>32</v>
      </c>
      <c r="E204" s="24" t="s">
        <v>69</v>
      </c>
      <c r="F204" s="39">
        <v>95</v>
      </c>
    </row>
    <row r="205" spans="1:6" x14ac:dyDescent="0.3">
      <c r="A205" s="35">
        <v>202</v>
      </c>
      <c r="B205" s="33">
        <v>46275</v>
      </c>
      <c r="C205" s="34" t="s">
        <v>68</v>
      </c>
      <c r="D205" s="31" t="s">
        <v>72</v>
      </c>
      <c r="E205" s="24" t="s">
        <v>18</v>
      </c>
      <c r="F205" s="39">
        <v>350</v>
      </c>
    </row>
    <row r="206" spans="1:6" x14ac:dyDescent="0.3">
      <c r="A206" s="35">
        <v>203</v>
      </c>
      <c r="B206" s="33">
        <v>46276</v>
      </c>
      <c r="C206" s="34" t="s">
        <v>9</v>
      </c>
      <c r="D206" t="s">
        <v>27</v>
      </c>
      <c r="E206" s="24" t="s">
        <v>69</v>
      </c>
      <c r="F206" s="39">
        <v>28</v>
      </c>
    </row>
    <row r="207" spans="1:6" x14ac:dyDescent="0.3">
      <c r="A207" s="35">
        <v>204</v>
      </c>
      <c r="B207" s="33">
        <v>46278</v>
      </c>
      <c r="C207" s="34" t="s">
        <v>4</v>
      </c>
      <c r="D207" t="s">
        <v>24</v>
      </c>
      <c r="E207" s="24" t="s">
        <v>17</v>
      </c>
      <c r="F207" s="39">
        <v>115</v>
      </c>
    </row>
    <row r="208" spans="1:6" x14ac:dyDescent="0.3">
      <c r="A208" s="35">
        <v>205</v>
      </c>
      <c r="B208" s="33">
        <v>46285</v>
      </c>
      <c r="C208" s="34" t="s">
        <v>13</v>
      </c>
      <c r="D208" t="s">
        <v>74</v>
      </c>
      <c r="E208" s="24" t="s">
        <v>18</v>
      </c>
      <c r="F208" s="39">
        <v>250</v>
      </c>
    </row>
    <row r="209" spans="1:6" x14ac:dyDescent="0.3">
      <c r="A209" s="35">
        <v>206</v>
      </c>
      <c r="B209" s="33">
        <v>46287</v>
      </c>
      <c r="C209" s="34" t="s">
        <v>10</v>
      </c>
      <c r="D209" t="s">
        <v>65</v>
      </c>
      <c r="E209" s="24" t="s">
        <v>18</v>
      </c>
      <c r="F209" s="39">
        <v>30</v>
      </c>
    </row>
    <row r="210" spans="1:6" x14ac:dyDescent="0.3">
      <c r="A210" s="35">
        <v>207</v>
      </c>
      <c r="B210" s="36">
        <v>46295</v>
      </c>
      <c r="C210" s="37" t="s">
        <v>66</v>
      </c>
      <c r="D210" t="s">
        <v>73</v>
      </c>
      <c r="E210" s="24" t="s">
        <v>18</v>
      </c>
      <c r="F210" s="40">
        <v>3500</v>
      </c>
    </row>
    <row r="273" spans="4:4" x14ac:dyDescent="0.3">
      <c r="D273" t="s">
        <v>34</v>
      </c>
    </row>
    <row r="274" spans="4:4" x14ac:dyDescent="0.3">
      <c r="D274" t="s">
        <v>59</v>
      </c>
    </row>
    <row r="275" spans="4:4" x14ac:dyDescent="0.3">
      <c r="D275" t="s">
        <v>24</v>
      </c>
    </row>
    <row r="276" spans="4:4" x14ac:dyDescent="0.3">
      <c r="D276" t="s">
        <v>34</v>
      </c>
    </row>
    <row r="277" spans="4:4" x14ac:dyDescent="0.3">
      <c r="D277" t="s">
        <v>34</v>
      </c>
    </row>
    <row r="278" spans="4:4" x14ac:dyDescent="0.3">
      <c r="D278" t="s">
        <v>59</v>
      </c>
    </row>
    <row r="279" spans="4:4" x14ac:dyDescent="0.3">
      <c r="D279" t="s">
        <v>24</v>
      </c>
    </row>
    <row r="280" spans="4:4" x14ac:dyDescent="0.3">
      <c r="D280" t="s">
        <v>34</v>
      </c>
    </row>
    <row r="281" spans="4:4" x14ac:dyDescent="0.3">
      <c r="D281" t="s">
        <v>59</v>
      </c>
    </row>
    <row r="282" spans="4:4" x14ac:dyDescent="0.3">
      <c r="D282" t="s">
        <v>24</v>
      </c>
    </row>
    <row r="283" spans="4:4" x14ac:dyDescent="0.3">
      <c r="D283" t="s">
        <v>34</v>
      </c>
    </row>
    <row r="284" spans="4:4" x14ac:dyDescent="0.3">
      <c r="D284" t="s">
        <v>24</v>
      </c>
    </row>
    <row r="285" spans="4:4" x14ac:dyDescent="0.3">
      <c r="D285" t="s">
        <v>59</v>
      </c>
    </row>
    <row r="286" spans="4:4" x14ac:dyDescent="0.3">
      <c r="D286" t="s">
        <v>34</v>
      </c>
    </row>
    <row r="287" spans="4:4" x14ac:dyDescent="0.3">
      <c r="D287" t="s">
        <v>24</v>
      </c>
    </row>
    <row r="288" spans="4:4" x14ac:dyDescent="0.3">
      <c r="D288" t="s">
        <v>34</v>
      </c>
    </row>
    <row r="289" spans="4:4" x14ac:dyDescent="0.3">
      <c r="D289" t="s">
        <v>59</v>
      </c>
    </row>
    <row r="290" spans="4:4" x14ac:dyDescent="0.3">
      <c r="D290" t="s">
        <v>24</v>
      </c>
    </row>
    <row r="291" spans="4:4" x14ac:dyDescent="0.3">
      <c r="D291" t="s">
        <v>34</v>
      </c>
    </row>
    <row r="292" spans="4:4" x14ac:dyDescent="0.3">
      <c r="D292" t="s">
        <v>59</v>
      </c>
    </row>
    <row r="293" spans="4:4" x14ac:dyDescent="0.3">
      <c r="D293" t="s">
        <v>34</v>
      </c>
    </row>
    <row r="294" spans="4:4" x14ac:dyDescent="0.3">
      <c r="D294" t="s">
        <v>24</v>
      </c>
    </row>
    <row r="295" spans="4:4" x14ac:dyDescent="0.3">
      <c r="D295" t="s">
        <v>59</v>
      </c>
    </row>
    <row r="296" spans="4:4" x14ac:dyDescent="0.3">
      <c r="D296" t="s">
        <v>34</v>
      </c>
    </row>
    <row r="297" spans="4:4" x14ac:dyDescent="0.3">
      <c r="D297" t="s">
        <v>24</v>
      </c>
    </row>
    <row r="298" spans="4:4" x14ac:dyDescent="0.3">
      <c r="D298" t="s">
        <v>34</v>
      </c>
    </row>
    <row r="299" spans="4:4" x14ac:dyDescent="0.3">
      <c r="D299" t="s">
        <v>59</v>
      </c>
    </row>
    <row r="300" spans="4:4" x14ac:dyDescent="0.3">
      <c r="D300" t="s">
        <v>24</v>
      </c>
    </row>
  </sheetData>
  <mergeCells count="1">
    <mergeCell ref="A1:C1"/>
  </mergeCells>
  <phoneticPr fontId="9" type="noConversion"/>
  <dataValidations count="1">
    <dataValidation type="list" allowBlank="1" showInputMessage="1" showErrorMessage="1" sqref="E50" xr:uid="{003F10CD-FF83-49F2-9476-3BD971025D7C}">
      <formula1>nameAccount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568365-8F40-430F-9723-86B20BB9A0C9}">
          <x14:formula1>
            <xm:f>Table!$C$4:$C$21</xm:f>
          </x14:formula1>
          <xm:sqref>C4:C210</xm:sqref>
        </x14:dataValidation>
        <x14:dataValidation type="list" allowBlank="1" showInputMessage="1" showErrorMessage="1" xr:uid="{EA5E5328-69EE-43F9-9123-1C827564AE37}">
          <x14:formula1>
            <xm:f>Table!$I$4:$I$39</xm:f>
          </x14:formula1>
          <xm:sqref>D206:D210 D155:D172 D191:D204 D4:D18 D72:D93 D45:D70 D20:D43 D95:D122 D174:D189 D124:D153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2A613-B9DC-41A4-B2CF-0989F3F170BF}">
  <dimension ref="A1:N31"/>
  <sheetViews>
    <sheetView zoomScaleNormal="100" workbookViewId="0">
      <selection activeCell="C17" sqref="C17"/>
    </sheetView>
  </sheetViews>
  <sheetFormatPr defaultRowHeight="14.4" x14ac:dyDescent="0.3"/>
  <cols>
    <col min="1" max="1" width="13.33203125" customWidth="1"/>
    <col min="2" max="2" width="15.5546875" customWidth="1"/>
    <col min="5" max="5" width="13.6640625" customWidth="1"/>
    <col min="6" max="12" width="13" customWidth="1"/>
    <col min="13" max="14" width="9.109375" bestFit="1" customWidth="1"/>
    <col min="15" max="15" width="16" customWidth="1"/>
  </cols>
  <sheetData>
    <row r="1" spans="1:14" ht="18" x14ac:dyDescent="0.35">
      <c r="A1" s="30" t="s">
        <v>38</v>
      </c>
      <c r="B1" s="30"/>
      <c r="E1" s="30" t="s">
        <v>47</v>
      </c>
      <c r="F1" s="30"/>
      <c r="G1" s="30"/>
      <c r="H1" s="30"/>
      <c r="I1" s="30"/>
      <c r="J1" s="30"/>
      <c r="K1" s="30"/>
      <c r="L1" s="30"/>
      <c r="M1" s="30"/>
      <c r="N1" s="30"/>
    </row>
    <row r="2" spans="1:14" ht="4.2" customHeight="1" x14ac:dyDescent="0.3"/>
    <row r="3" spans="1:14" x14ac:dyDescent="0.3">
      <c r="A3" s="4" t="s">
        <v>22</v>
      </c>
      <c r="B3" s="4" t="s">
        <v>37</v>
      </c>
      <c r="E3" s="4" t="str" cm="1">
        <f t="array" ref="E3:N16">_xlfn.LET(_xlpm.dat,tTransactions[Date],
     _xlpm.cat,tTransactions[Category],
     _xlpm.amo,tTransactions[Amount],
_xlpm.sig,namSignCatTableTrans,
_xlfn.PIVOTBY(_xlpm.cat,YEAR(_xlpm.dat)&amp;"-"&amp;TEXT(MONTH(_xlpm.dat),"00"),_xlpm.amo,
_xleta.SUM,0,1,,0,,(_xlpm.sig&lt;0)*(_xlpm.cat&lt;&gt;"Out. Adjust")))</f>
        <v/>
      </c>
      <c r="F3" s="4" t="str">
        <v>2026-01</v>
      </c>
      <c r="G3" s="4" t="str">
        <v>2026-02</v>
      </c>
      <c r="H3" s="4" t="str">
        <v>2026-03</v>
      </c>
      <c r="I3" s="4" t="str">
        <v>2026-04</v>
      </c>
      <c r="J3" s="4" t="str">
        <v>2026-05</v>
      </c>
      <c r="K3" s="4" t="str">
        <v>2026-06</v>
      </c>
      <c r="L3" s="4" t="str">
        <v>2026-07</v>
      </c>
      <c r="M3" s="4" t="str">
        <v>2026-08</v>
      </c>
      <c r="N3" s="4" t="str">
        <v>2026-09</v>
      </c>
    </row>
    <row r="4" spans="1:14" x14ac:dyDescent="0.3">
      <c r="A4" t="str" cm="1">
        <f t="array" ref="A4:B7">_xlfn.LET(_xlpm.acc,tTransactions[Account],
     _xlpm.amo,tTransactions[Amount],
_xlpm.sig,namSignCatTableTrans,
_xlfn.GROUPBY(_xlpm.acc,_xlpm.amo*_xlpm.sig,_xleta.SUM,0,1))</f>
        <v>CC AMEX</v>
      </c>
      <c r="B4" s="7">
        <v>2305.75</v>
      </c>
      <c r="E4" t="str">
        <v>Alcohol</v>
      </c>
      <c r="F4" s="7">
        <v>60</v>
      </c>
      <c r="G4" s="7">
        <v>63</v>
      </c>
      <c r="H4" s="7">
        <v>63</v>
      </c>
      <c r="I4" s="7">
        <v>65</v>
      </c>
      <c r="J4" s="7">
        <v>62</v>
      </c>
      <c r="K4" s="7">
        <v>95</v>
      </c>
      <c r="L4" s="7" t="str">
        <v/>
      </c>
      <c r="M4" s="7">
        <v>35</v>
      </c>
      <c r="N4" s="7">
        <v>28</v>
      </c>
    </row>
    <row r="5" spans="1:14" x14ac:dyDescent="0.3">
      <c r="A5" t="str">
        <v>CC CIBC</v>
      </c>
      <c r="B5" s="7">
        <v>2468</v>
      </c>
      <c r="E5" t="str">
        <v>Car</v>
      </c>
      <c r="F5" s="7">
        <v>300</v>
      </c>
      <c r="G5" s="7">
        <v>30</v>
      </c>
      <c r="H5" s="7">
        <v>30</v>
      </c>
      <c r="I5" s="7" t="str">
        <v/>
      </c>
      <c r="J5" s="7">
        <v>30</v>
      </c>
      <c r="K5" s="7">
        <v>315</v>
      </c>
      <c r="L5" s="7">
        <v>30</v>
      </c>
      <c r="M5" s="7" t="str">
        <v/>
      </c>
      <c r="N5" s="7" t="str">
        <v/>
      </c>
    </row>
    <row r="6" spans="1:14" x14ac:dyDescent="0.3">
      <c r="A6" t="str">
        <v>DC CIBC</v>
      </c>
      <c r="B6" s="7">
        <v>3936.0800000000017</v>
      </c>
      <c r="E6" t="str">
        <v>Clothing</v>
      </c>
      <c r="F6" s="7">
        <v>90</v>
      </c>
      <c r="G6" s="7">
        <v>70</v>
      </c>
      <c r="H6" s="7">
        <v>110</v>
      </c>
      <c r="I6" s="7">
        <v>85</v>
      </c>
      <c r="J6" s="7">
        <v>155</v>
      </c>
      <c r="K6" s="7">
        <v>193</v>
      </c>
      <c r="L6" s="7" t="str">
        <v/>
      </c>
      <c r="M6" s="7">
        <v>60</v>
      </c>
      <c r="N6" s="7">
        <v>95</v>
      </c>
    </row>
    <row r="7" spans="1:14" x14ac:dyDescent="0.3">
      <c r="A7" s="6" t="str">
        <v>Total</v>
      </c>
      <c r="B7" s="8">
        <v>8709.8300000000017</v>
      </c>
      <c r="E7" t="str">
        <v>Food</v>
      </c>
      <c r="F7" s="7">
        <v>196.2</v>
      </c>
      <c r="G7" s="7">
        <v>72</v>
      </c>
      <c r="H7" s="7">
        <v>71</v>
      </c>
      <c r="I7" s="7">
        <v>32</v>
      </c>
      <c r="J7" s="7">
        <v>73.5</v>
      </c>
      <c r="K7" s="7">
        <v>76.5</v>
      </c>
      <c r="L7" s="7">
        <v>235.15</v>
      </c>
      <c r="M7" s="7">
        <v>29</v>
      </c>
      <c r="N7" s="7">
        <v>105.9</v>
      </c>
    </row>
    <row r="8" spans="1:14" x14ac:dyDescent="0.3">
      <c r="E8" t="str">
        <v>Gamble</v>
      </c>
      <c r="F8" s="7">
        <v>35</v>
      </c>
      <c r="G8" s="7">
        <v>100</v>
      </c>
      <c r="H8" s="7">
        <v>60</v>
      </c>
      <c r="I8" s="7">
        <v>28</v>
      </c>
      <c r="J8" s="7" t="str">
        <v/>
      </c>
      <c r="K8" s="7">
        <v>70</v>
      </c>
      <c r="L8" s="7" t="str">
        <v/>
      </c>
      <c r="M8" s="7">
        <v>25</v>
      </c>
      <c r="N8" s="7">
        <v>30</v>
      </c>
    </row>
    <row r="9" spans="1:14" x14ac:dyDescent="0.3">
      <c r="E9" t="str">
        <v>Gas</v>
      </c>
      <c r="F9" s="7">
        <v>135</v>
      </c>
      <c r="G9" s="7">
        <v>140</v>
      </c>
      <c r="H9" s="7">
        <v>145</v>
      </c>
      <c r="I9" s="7">
        <v>142</v>
      </c>
      <c r="J9" s="7">
        <v>153</v>
      </c>
      <c r="K9" s="7">
        <v>154</v>
      </c>
      <c r="L9" s="7">
        <v>65</v>
      </c>
      <c r="M9" s="7">
        <v>68</v>
      </c>
      <c r="N9" s="7">
        <v>72</v>
      </c>
    </row>
    <row r="10" spans="1:14" x14ac:dyDescent="0.3">
      <c r="E10" t="str">
        <v>Groceries</v>
      </c>
      <c r="F10" s="7">
        <v>385</v>
      </c>
      <c r="G10" s="7">
        <v>405</v>
      </c>
      <c r="H10" s="7">
        <v>523</v>
      </c>
      <c r="I10" s="7">
        <v>413</v>
      </c>
      <c r="J10" s="7">
        <v>545</v>
      </c>
      <c r="K10" s="7">
        <v>536</v>
      </c>
      <c r="L10" s="7">
        <v>258</v>
      </c>
      <c r="M10" s="7">
        <v>275</v>
      </c>
      <c r="N10" s="7">
        <v>255</v>
      </c>
    </row>
    <row r="11" spans="1:14" x14ac:dyDescent="0.3">
      <c r="E11" t="str">
        <v>Insurance</v>
      </c>
      <c r="F11" s="7">
        <v>250</v>
      </c>
      <c r="G11" s="7">
        <v>250</v>
      </c>
      <c r="H11" s="7">
        <v>250</v>
      </c>
      <c r="I11" s="7">
        <v>250</v>
      </c>
      <c r="J11" s="7">
        <v>250</v>
      </c>
      <c r="K11" s="7">
        <v>250</v>
      </c>
      <c r="L11" s="7">
        <v>250</v>
      </c>
      <c r="M11" s="7">
        <v>250</v>
      </c>
      <c r="N11" s="7">
        <v>250</v>
      </c>
    </row>
    <row r="12" spans="1:14" x14ac:dyDescent="0.3">
      <c r="E12" t="str">
        <v>Monthly Bill</v>
      </c>
      <c r="F12" s="7">
        <v>135.99</v>
      </c>
      <c r="G12" s="7">
        <v>135.99</v>
      </c>
      <c r="H12" s="7">
        <v>135.99</v>
      </c>
      <c r="I12" s="7">
        <v>135.99</v>
      </c>
      <c r="J12" s="7">
        <v>135.99</v>
      </c>
      <c r="K12" s="7">
        <v>135.99</v>
      </c>
      <c r="L12" s="7">
        <v>135.99</v>
      </c>
      <c r="M12" s="7">
        <v>135.99</v>
      </c>
      <c r="N12" s="7">
        <v>120</v>
      </c>
    </row>
    <row r="13" spans="1:14" x14ac:dyDescent="0.3">
      <c r="E13" t="str">
        <v>Rent</v>
      </c>
      <c r="F13" s="7">
        <v>1900</v>
      </c>
      <c r="G13" s="7">
        <v>1900</v>
      </c>
      <c r="H13" s="7">
        <v>1900</v>
      </c>
      <c r="I13" s="7">
        <v>1900</v>
      </c>
      <c r="J13" s="7">
        <v>1900</v>
      </c>
      <c r="K13" s="7">
        <v>1900</v>
      </c>
      <c r="L13" s="7">
        <v>1900</v>
      </c>
      <c r="M13" s="7">
        <v>1900</v>
      </c>
      <c r="N13" s="7">
        <v>1900</v>
      </c>
    </row>
    <row r="14" spans="1:14" x14ac:dyDescent="0.3">
      <c r="E14" t="str">
        <v>Transport</v>
      </c>
      <c r="F14" s="7">
        <v>77</v>
      </c>
      <c r="G14" s="7">
        <v>78</v>
      </c>
      <c r="H14" s="7">
        <v>79</v>
      </c>
      <c r="I14" s="7">
        <v>80</v>
      </c>
      <c r="J14" s="7">
        <v>107</v>
      </c>
      <c r="K14" s="7">
        <v>113</v>
      </c>
      <c r="L14" s="7">
        <v>47</v>
      </c>
      <c r="M14" s="7">
        <v>26</v>
      </c>
      <c r="N14" s="7">
        <v>30</v>
      </c>
    </row>
    <row r="15" spans="1:14" x14ac:dyDescent="0.3">
      <c r="E15" t="str">
        <v>Utilities</v>
      </c>
      <c r="F15" s="7">
        <v>155</v>
      </c>
      <c r="G15" s="7">
        <v>160</v>
      </c>
      <c r="H15" s="7">
        <v>165</v>
      </c>
      <c r="I15" s="7">
        <v>165</v>
      </c>
      <c r="J15" s="7">
        <v>170</v>
      </c>
      <c r="K15" s="7">
        <v>168</v>
      </c>
      <c r="L15" s="7">
        <v>160</v>
      </c>
      <c r="M15" s="7">
        <v>160</v>
      </c>
      <c r="N15" s="7">
        <v>160</v>
      </c>
    </row>
    <row r="16" spans="1:14" x14ac:dyDescent="0.3">
      <c r="E16" s="42" t="str">
        <v>Total</v>
      </c>
      <c r="F16" s="43">
        <v>3719.1899999999996</v>
      </c>
      <c r="G16" s="43">
        <v>3403.99</v>
      </c>
      <c r="H16" s="43">
        <v>3531.99</v>
      </c>
      <c r="I16" s="43">
        <v>3295.99</v>
      </c>
      <c r="J16" s="43">
        <v>3581.49</v>
      </c>
      <c r="K16" s="43">
        <v>4006.49</v>
      </c>
      <c r="L16" s="43">
        <v>3081.14</v>
      </c>
      <c r="M16" s="43">
        <v>2963.99</v>
      </c>
      <c r="N16" s="43">
        <v>3045.9</v>
      </c>
    </row>
    <row r="17" spans="5:14" x14ac:dyDescent="0.3">
      <c r="F17" s="7"/>
      <c r="G17" s="7"/>
      <c r="H17" s="7"/>
      <c r="I17" s="7"/>
      <c r="J17" s="7"/>
      <c r="K17" s="7"/>
      <c r="L17" s="7"/>
    </row>
    <row r="18" spans="5:14" x14ac:dyDescent="0.3">
      <c r="F18" s="7"/>
      <c r="G18" s="7"/>
      <c r="H18" s="7"/>
      <c r="I18" s="7"/>
      <c r="J18" s="7"/>
      <c r="K18" s="7"/>
      <c r="L18" s="7"/>
    </row>
    <row r="19" spans="5:14" x14ac:dyDescent="0.3">
      <c r="F19" s="7"/>
      <c r="G19" s="7"/>
      <c r="H19" s="7"/>
      <c r="I19" s="7"/>
      <c r="J19" s="7"/>
      <c r="K19" s="7"/>
      <c r="L19" s="7"/>
    </row>
    <row r="23" spans="5:14" ht="18" x14ac:dyDescent="0.35">
      <c r="E23" s="9" t="s">
        <v>45</v>
      </c>
      <c r="F23" s="9"/>
      <c r="G23" s="9"/>
      <c r="H23" s="9"/>
      <c r="I23" s="9"/>
      <c r="J23" s="9"/>
      <c r="K23" s="9"/>
      <c r="L23" s="9"/>
      <c r="M23" s="9"/>
      <c r="N23" s="9"/>
    </row>
    <row r="24" spans="5:14" s="48" customFormat="1" ht="3" customHeight="1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</row>
    <row r="25" spans="5:14" x14ac:dyDescent="0.3">
      <c r="E25" s="10" t="str" cm="1">
        <f t="array" ref="E25:N28">_xlfn.LET(_xlpm.dat,tTransactions[Date],
     _xlpm.cat,tTransactions[Category],
     _xlpm.amo,tTransactions[Amount],
_xlpm.sig,namSignCatTableTrans,
_xlfn.PIVOTBY(_xlpm.cat,YEAR(_xlpm.dat)&amp;"-"&amp;TEXT(MONTH(_xlpm.dat),"00"),_xlpm.amo,
_xleta.SUM,0,1,,0,,(_xlpm.sig&gt;0)*(_xlpm.cat&lt;&gt;"Inc. Adjust")))</f>
        <v/>
      </c>
      <c r="F25" s="10" t="str">
        <v>2026-01</v>
      </c>
      <c r="G25" s="10" t="str">
        <v>2026-02</v>
      </c>
      <c r="H25" s="10" t="str">
        <v>2026-03</v>
      </c>
      <c r="I25" s="10" t="str">
        <v>2026-04</v>
      </c>
      <c r="J25" s="10" t="str">
        <v>2026-05</v>
      </c>
      <c r="K25" s="10" t="str">
        <v>2026-06</v>
      </c>
      <c r="L25" s="10" t="str">
        <v>2026-07</v>
      </c>
      <c r="M25" s="10" t="str">
        <v>2026-08</v>
      </c>
      <c r="N25" s="10" t="str">
        <v>2026-09</v>
      </c>
    </row>
    <row r="26" spans="5:14" x14ac:dyDescent="0.3">
      <c r="E26" t="str">
        <v>Freelance Job</v>
      </c>
      <c r="F26" s="7">
        <v>480</v>
      </c>
      <c r="G26" s="7">
        <v>650</v>
      </c>
      <c r="H26" s="7">
        <v>520</v>
      </c>
      <c r="I26" s="7">
        <v>580</v>
      </c>
      <c r="J26" s="7">
        <v>720</v>
      </c>
      <c r="K26" s="7">
        <v>540</v>
      </c>
      <c r="L26" s="7">
        <v>280</v>
      </c>
      <c r="M26" s="7">
        <v>600</v>
      </c>
      <c r="N26" s="7">
        <v>350</v>
      </c>
    </row>
    <row r="27" spans="5:14" x14ac:dyDescent="0.3">
      <c r="E27" t="str">
        <v>Full Time Job</v>
      </c>
      <c r="F27" s="7">
        <v>3800</v>
      </c>
      <c r="G27" s="7">
        <v>3600</v>
      </c>
      <c r="H27" s="7">
        <v>4100</v>
      </c>
      <c r="I27" s="7">
        <v>3800</v>
      </c>
      <c r="J27" s="7">
        <v>3750</v>
      </c>
      <c r="K27" s="7">
        <v>3970</v>
      </c>
      <c r="L27" s="7">
        <v>3800</v>
      </c>
      <c r="M27" s="7">
        <v>4300</v>
      </c>
      <c r="N27" s="7">
        <v>3500</v>
      </c>
    </row>
    <row r="28" spans="5:14" x14ac:dyDescent="0.3">
      <c r="E28" s="42" t="str">
        <v>Total</v>
      </c>
      <c r="F28" s="43">
        <v>4280</v>
      </c>
      <c r="G28" s="43">
        <v>4250</v>
      </c>
      <c r="H28" s="43">
        <v>4620</v>
      </c>
      <c r="I28" s="43">
        <v>4380</v>
      </c>
      <c r="J28" s="43">
        <v>4470</v>
      </c>
      <c r="K28" s="43">
        <v>4510</v>
      </c>
      <c r="L28" s="43">
        <v>4080</v>
      </c>
      <c r="M28" s="43">
        <v>4900</v>
      </c>
      <c r="N28" s="43">
        <v>3850</v>
      </c>
    </row>
    <row r="29" spans="5:14" x14ac:dyDescent="0.3">
      <c r="E29" s="38"/>
      <c r="F29" s="38"/>
      <c r="G29" s="38"/>
      <c r="H29" s="38"/>
      <c r="I29" s="38"/>
      <c r="J29" s="38"/>
      <c r="K29" s="38"/>
    </row>
    <row r="30" spans="5:14" x14ac:dyDescent="0.3">
      <c r="E30" s="38"/>
      <c r="F30" s="38"/>
      <c r="G30" s="38"/>
      <c r="H30" s="38"/>
      <c r="I30" s="38"/>
      <c r="J30" s="38"/>
      <c r="K30" s="38"/>
    </row>
    <row r="31" spans="5:14" x14ac:dyDescent="0.3">
      <c r="E31" s="38"/>
      <c r="F31" s="38"/>
      <c r="G31" s="38"/>
      <c r="H31" s="38"/>
      <c r="I31" s="38"/>
      <c r="J31" s="38"/>
      <c r="K31" s="38"/>
    </row>
  </sheetData>
  <mergeCells count="2">
    <mergeCell ref="A1:B1"/>
    <mergeCell ref="E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E7DC-5AF9-46D9-9FD0-9510FA37164D}">
  <dimension ref="B1:X34"/>
  <sheetViews>
    <sheetView showGridLines="0" tabSelected="1" zoomScaleNormal="100" workbookViewId="0">
      <selection activeCell="B8" sqref="B8"/>
    </sheetView>
  </sheetViews>
  <sheetFormatPr defaultRowHeight="14.4" x14ac:dyDescent="0.3"/>
  <cols>
    <col min="1" max="1" width="3.21875" customWidth="1"/>
    <col min="2" max="2" width="14.109375" customWidth="1"/>
    <col min="3" max="3" width="8.33203125" customWidth="1"/>
    <col min="4" max="4" width="2.77734375" customWidth="1"/>
    <col min="5" max="5" width="15.77734375" customWidth="1"/>
    <col min="6" max="7" width="9.6640625" bestFit="1" customWidth="1"/>
    <col min="8" max="8" width="10.6640625" customWidth="1"/>
    <col min="9" max="9" width="2.77734375" customWidth="1"/>
    <col min="10" max="10" width="5.77734375" customWidth="1"/>
    <col min="11" max="11" width="12.77734375" customWidth="1"/>
    <col min="12" max="13" width="9.109375" bestFit="1" customWidth="1"/>
    <col min="15" max="15" width="9.109375" bestFit="1" customWidth="1"/>
    <col min="18" max="18" width="3.6640625" customWidth="1"/>
    <col min="19" max="19" width="9.109375" bestFit="1" customWidth="1"/>
  </cols>
  <sheetData>
    <row r="1" spans="2:24" x14ac:dyDescent="0.3">
      <c r="B1" s="11" t="s">
        <v>55</v>
      </c>
      <c r="C1" s="11"/>
      <c r="E1" s="5" t="s">
        <v>54</v>
      </c>
    </row>
    <row r="2" spans="2:24" x14ac:dyDescent="0.3">
      <c r="B2" s="12" t="s">
        <v>49</v>
      </c>
      <c r="C2" s="13" t="s">
        <v>50</v>
      </c>
      <c r="E2" s="19" t="s">
        <v>21</v>
      </c>
      <c r="F2" s="19" t="s">
        <v>52</v>
      </c>
      <c r="G2" s="19" t="s">
        <v>37</v>
      </c>
      <c r="H2" s="19" t="s">
        <v>53</v>
      </c>
    </row>
    <row r="3" spans="2:24" x14ac:dyDescent="0.3">
      <c r="B3" s="14">
        <v>2026</v>
      </c>
      <c r="C3" s="15">
        <v>7</v>
      </c>
      <c r="E3" t="str" cm="1">
        <f t="array" ref="E3:H5">_xlfn.LET(_xlpm.repInc,_xlfn.ANCHORARRAY(Formulas!E25),
_xlpm.per,B3&amp;"-"&amp;TEXT(C3,"00"),
_xlpm.sec,_xlfn.SEQUENCE(,COLUMNS(_xlpm.repInc)),
_xlpm.pos,_xlfn.XLOOKUP(_xlpm.per,_xlfn.TAKE(_xlpm.repInc,1),_xlpm.sec,1),
_xlpm.cat,_xlfn.TAKE(_xlpm.repInc,,1),
_xlpm.avg,_xlfn.BYROW(IF(_xlpm.sec&lt;_xlpm.pos,_xlpm.repInc,""),_xleta.AVERAGE),
_xlpm.tot,_xlfn.CHOOSECOLS(_xlpm.repInc,_xlpm.pos),
_xlpm.var,(_xlpm.tot/_xlpm.avg)-1,
_xlpm.rep,_xlfn.HSTACK(_xlpm.cat,_xlpm.avg,_xlpm.tot,_xlpm.var),
IFERROR(_xlfn._xlws.FILTER(_xlpm.rep,(_xlpm.tot&lt;&gt;"")*(_xlfn.SEQUENCE(ROWS(_xlpm.tot))&lt;&gt;1)),0))</f>
        <v>Freelance Job</v>
      </c>
      <c r="F3" s="17">
        <v>581.66666666666663</v>
      </c>
      <c r="G3" s="7">
        <v>280</v>
      </c>
      <c r="H3" s="22">
        <v>-0.51862464183381085</v>
      </c>
      <c r="K3" t="str" cm="1">
        <f t="array" ref="K3:M4">_xlfn.DROP(_xlfn.ANCHORARRAY(E3),-1,-1)</f>
        <v>Freelance Job</v>
      </c>
      <c r="L3">
        <v>581.66666666666663</v>
      </c>
      <c r="M3">
        <v>280</v>
      </c>
      <c r="S3" t="s">
        <v>56</v>
      </c>
      <c r="T3" s="7">
        <f>K5</f>
        <v>4080</v>
      </c>
    </row>
    <row r="4" spans="2:24" x14ac:dyDescent="0.3">
      <c r="E4" t="str">
        <v>Full Time Job</v>
      </c>
      <c r="F4" s="17">
        <v>3836.6666666666665</v>
      </c>
      <c r="G4" s="7">
        <v>3800</v>
      </c>
      <c r="H4" s="22">
        <v>-9.5569070373587861E-3</v>
      </c>
      <c r="K4" t="str">
        <v>Full Time Job</v>
      </c>
      <c r="L4">
        <v>3836.6666666666665</v>
      </c>
      <c r="M4">
        <v>3800</v>
      </c>
      <c r="S4" t="s">
        <v>57</v>
      </c>
      <c r="T4" s="7">
        <f>O15</f>
        <v>3081.14</v>
      </c>
      <c r="U4" s="27">
        <f>T4/T3</f>
        <v>0.75518137254901962</v>
      </c>
    </row>
    <row r="5" spans="2:24" x14ac:dyDescent="0.3">
      <c r="E5" t="str">
        <v>Total</v>
      </c>
      <c r="F5" s="17">
        <v>4418.333333333333</v>
      </c>
      <c r="G5" s="7">
        <v>4080</v>
      </c>
      <c r="H5" s="22">
        <v>-7.6574877404752884E-2</v>
      </c>
      <c r="K5" s="25" cm="1">
        <f t="array" ref="K5">_xlfn.TAKE(_xlfn.CHOOSECOLS(_xlfn.ANCHORARRAY(E3),3),-1)</f>
        <v>4080</v>
      </c>
      <c r="S5" t="s">
        <v>58</v>
      </c>
      <c r="T5" s="7">
        <f>_xlfn.LET(_xlpm.dif,T3-T4,IF(_xlpm.dif&lt;0,0,_xlpm.dif))</f>
        <v>998.86000000000013</v>
      </c>
      <c r="U5" s="27">
        <f>T5/T3</f>
        <v>0.24481862745098043</v>
      </c>
    </row>
    <row r="6" spans="2:24" x14ac:dyDescent="0.3">
      <c r="F6" s="17"/>
      <c r="G6" s="7"/>
      <c r="H6" s="22"/>
    </row>
    <row r="7" spans="2:24" x14ac:dyDescent="0.3">
      <c r="F7" s="17"/>
      <c r="G7" s="23"/>
      <c r="H7" s="22"/>
    </row>
    <row r="12" spans="2:24" x14ac:dyDescent="0.3"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2:24" x14ac:dyDescent="0.3">
      <c r="E13" s="5" t="s">
        <v>51</v>
      </c>
    </row>
    <row r="14" spans="2:24" x14ac:dyDescent="0.3">
      <c r="E14" s="20" t="s">
        <v>21</v>
      </c>
      <c r="F14" s="20" t="s">
        <v>52</v>
      </c>
      <c r="G14" s="20" t="s">
        <v>37</v>
      </c>
      <c r="H14" s="20" t="s">
        <v>53</v>
      </c>
    </row>
    <row r="15" spans="2:24" x14ac:dyDescent="0.3">
      <c r="E15" t="str" cm="1">
        <f t="array" ref="E15:H24">_xlfn.LET(_xlpm.repOut,_xlfn.ANCHORARRAY(Formulas!E3),
_xlpm.per,B3&amp;"-"&amp;TEXT(C3,"00"),
_xlpm.sec,_xlfn.SEQUENCE(,COLUMNS(_xlpm.repOut)),
_xlpm.pos,_xlfn.XLOOKUP(_xlpm.per,_xlfn.TAKE(_xlpm.repOut,1),_xlpm.sec,1),
_xlpm.cat,_xlfn.TAKE(_xlpm.repOut,,1),
_xlpm.avg,_xlfn.BYROW(IF(_xlpm.sec&lt;_xlpm.pos,_xlpm.repOut,""),_xleta.AVERAGE),
_xlpm.tot,_xlfn.CHOOSECOLS(_xlpm.repOut,_xlpm.pos),
_xlpm.var,(_xlpm.tot/_xlpm.avg)-1,
_xlpm.rep,_xlfn.HSTACK(_xlpm.cat,_xlpm.avg,_xlpm.tot,_xlpm.var),
IFERROR(_xlfn._xlws.FILTER(_xlpm.rep,(_xlpm.tot&lt;&gt;"")*(_xlfn.SEQUENCE(ROWS(_xlpm.tot))&lt;&gt;1)),0))</f>
        <v>Car</v>
      </c>
      <c r="F15" s="17">
        <v>141</v>
      </c>
      <c r="G15" s="7">
        <v>30</v>
      </c>
      <c r="H15" s="18">
        <v>-0.78723404255319152</v>
      </c>
      <c r="K15" t="str" cm="1">
        <f t="array" ref="K15:M23">_xlfn.DROP(_xlfn.ANCHORARRAY(E15),-1,-1)</f>
        <v>Car</v>
      </c>
      <c r="L15" s="7">
        <v>141</v>
      </c>
      <c r="M15" s="7">
        <v>30</v>
      </c>
      <c r="O15" s="26" cm="1">
        <f t="array" ref="O15">_xlfn.TAKE(_xlfn.CHOOSECOLS(_xlfn.ANCHORARRAY(E15),3),-1)</f>
        <v>3081.14</v>
      </c>
    </row>
    <row r="16" spans="2:24" x14ac:dyDescent="0.3">
      <c r="E16" t="str">
        <v>Food</v>
      </c>
      <c r="F16" s="17">
        <v>86.866666666666674</v>
      </c>
      <c r="G16" s="7">
        <v>235.15</v>
      </c>
      <c r="H16" s="18">
        <v>1.7070222563315425</v>
      </c>
      <c r="K16" t="str">
        <v>Food</v>
      </c>
      <c r="L16" s="7">
        <v>86.866666666666674</v>
      </c>
      <c r="M16" s="7">
        <v>235.15</v>
      </c>
    </row>
    <row r="17" spans="5:13" x14ac:dyDescent="0.3">
      <c r="E17" t="str">
        <v>Gas</v>
      </c>
      <c r="F17" s="17">
        <v>144.83333333333334</v>
      </c>
      <c r="G17" s="7">
        <v>65</v>
      </c>
      <c r="H17" s="18">
        <v>-0.5512082853855006</v>
      </c>
      <c r="K17" t="str">
        <v>Gas</v>
      </c>
      <c r="L17" s="7">
        <v>144.83333333333334</v>
      </c>
      <c r="M17" s="7">
        <v>65</v>
      </c>
    </row>
    <row r="18" spans="5:13" x14ac:dyDescent="0.3">
      <c r="E18" t="str">
        <v>Groceries</v>
      </c>
      <c r="F18" s="17">
        <v>467.83333333333331</v>
      </c>
      <c r="G18" s="7">
        <v>258</v>
      </c>
      <c r="H18" s="18">
        <v>-0.44852155325970788</v>
      </c>
      <c r="K18" t="str">
        <v>Groceries</v>
      </c>
      <c r="L18" s="7">
        <v>467.83333333333331</v>
      </c>
      <c r="M18" s="7">
        <v>258</v>
      </c>
    </row>
    <row r="19" spans="5:13" x14ac:dyDescent="0.3">
      <c r="E19" t="str">
        <v>Insurance</v>
      </c>
      <c r="F19" s="17">
        <v>250</v>
      </c>
      <c r="G19" s="7">
        <v>250</v>
      </c>
      <c r="H19" s="18">
        <v>0</v>
      </c>
      <c r="K19" t="str">
        <v>Insurance</v>
      </c>
      <c r="L19" s="7">
        <v>250</v>
      </c>
      <c r="M19" s="7">
        <v>250</v>
      </c>
    </row>
    <row r="20" spans="5:13" x14ac:dyDescent="0.3">
      <c r="E20" t="str">
        <v>Monthly Bill</v>
      </c>
      <c r="F20" s="17">
        <v>135.99</v>
      </c>
      <c r="G20" s="7">
        <v>135.99</v>
      </c>
      <c r="H20" s="18">
        <v>0</v>
      </c>
      <c r="K20" t="str">
        <v>Monthly Bill</v>
      </c>
      <c r="L20" s="7">
        <v>135.99</v>
      </c>
      <c r="M20" s="7">
        <v>135.99</v>
      </c>
    </row>
    <row r="21" spans="5:13" x14ac:dyDescent="0.3">
      <c r="E21" t="str">
        <v>Rent</v>
      </c>
      <c r="F21" s="17">
        <v>1900</v>
      </c>
      <c r="G21" s="7">
        <v>1900</v>
      </c>
      <c r="H21" s="18">
        <v>0</v>
      </c>
      <c r="K21" t="str">
        <v>Rent</v>
      </c>
      <c r="L21" s="7">
        <v>1900</v>
      </c>
      <c r="M21" s="7">
        <v>1900</v>
      </c>
    </row>
    <row r="22" spans="5:13" x14ac:dyDescent="0.3">
      <c r="E22" t="str">
        <v>Transport</v>
      </c>
      <c r="F22" s="17">
        <v>89</v>
      </c>
      <c r="G22" s="7">
        <v>47</v>
      </c>
      <c r="H22" s="18">
        <v>-0.4719101123595506</v>
      </c>
      <c r="K22" t="str">
        <v>Transport</v>
      </c>
      <c r="L22" s="7">
        <v>89</v>
      </c>
      <c r="M22" s="7">
        <v>47</v>
      </c>
    </row>
    <row r="23" spans="5:13" x14ac:dyDescent="0.3">
      <c r="E23" t="str">
        <v>Utilities</v>
      </c>
      <c r="F23" s="17">
        <v>163.83333333333334</v>
      </c>
      <c r="G23" s="7">
        <v>160</v>
      </c>
      <c r="H23" s="18">
        <v>-2.3397761953204532E-2</v>
      </c>
      <c r="K23" t="str">
        <v>Utilities</v>
      </c>
      <c r="L23" s="7">
        <v>163.83333333333334</v>
      </c>
      <c r="M23" s="7">
        <v>160</v>
      </c>
    </row>
    <row r="24" spans="5:13" x14ac:dyDescent="0.3">
      <c r="E24" t="str">
        <v>Total</v>
      </c>
      <c r="F24" s="17">
        <v>3589.8566666666666</v>
      </c>
      <c r="G24" s="7">
        <v>3081.14</v>
      </c>
      <c r="H24" s="18">
        <v>-0.14170946472328982</v>
      </c>
      <c r="L24" s="7"/>
      <c r="M24" s="7"/>
    </row>
    <row r="25" spans="5:13" x14ac:dyDescent="0.3">
      <c r="F25" s="17"/>
      <c r="G25" s="7"/>
      <c r="H25" s="18"/>
      <c r="L25" s="7"/>
      <c r="M25" s="7"/>
    </row>
    <row r="26" spans="5:13" x14ac:dyDescent="0.3">
      <c r="F26" s="17"/>
      <c r="G26" s="7"/>
      <c r="H26" s="18"/>
    </row>
    <row r="27" spans="5:13" x14ac:dyDescent="0.3">
      <c r="F27" s="17"/>
      <c r="G27" s="7"/>
      <c r="H27" s="18"/>
    </row>
    <row r="28" spans="5:13" x14ac:dyDescent="0.3">
      <c r="F28" s="17"/>
      <c r="G28" s="7"/>
      <c r="H28" s="18"/>
    </row>
    <row r="29" spans="5:13" x14ac:dyDescent="0.3">
      <c r="F29" s="17"/>
      <c r="H29" s="18"/>
    </row>
    <row r="30" spans="5:13" x14ac:dyDescent="0.3">
      <c r="F30" s="17"/>
      <c r="H30" s="18"/>
    </row>
    <row r="31" spans="5:13" x14ac:dyDescent="0.3">
      <c r="F31" s="17"/>
      <c r="H31" s="18"/>
    </row>
    <row r="33" spans="6:8" x14ac:dyDescent="0.3">
      <c r="F33" s="17"/>
      <c r="H33" s="18"/>
    </row>
    <row r="34" spans="6:8" x14ac:dyDescent="0.3">
      <c r="F34" s="21"/>
      <c r="H34" s="18"/>
    </row>
  </sheetData>
  <conditionalFormatting sqref="E3:H7 E15:H15 E20:H31 E33:H34">
    <cfRule type="expression" dxfId="0" priority="1">
      <formula>$E3="Total"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Table</vt:lpstr>
      <vt:lpstr>Transactions</vt:lpstr>
      <vt:lpstr>Formulas</vt:lpstr>
      <vt:lpstr>Dashboard</vt:lpstr>
      <vt:lpstr>nameAccount</vt:lpstr>
      <vt:lpstr>nameCategory</vt:lpstr>
      <vt:lpstr>namParty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Miguel Osorio Davila</dc:creator>
  <cp:lastModifiedBy>Jose Miguel Osorio Davila</cp:lastModifiedBy>
  <dcterms:created xsi:type="dcterms:W3CDTF">2026-09-07T04:53:30Z</dcterms:created>
  <dcterms:modified xsi:type="dcterms:W3CDTF">2026-09-26T00:07:40Z</dcterms:modified>
</cp:coreProperties>
</file>